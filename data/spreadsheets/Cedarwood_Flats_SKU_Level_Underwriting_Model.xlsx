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 - SKU Register" sheetId="2" state="visible" r:id="rId4"/>
    <sheet name="WBS Budget" sheetId="3" state="visible" r:id="rId5"/>
    <sheet name="Rent Roll" sheetId="4" state="visible" r:id="rId6"/>
    <sheet name="Revenue &amp; Operations" sheetId="5" state="visible" r:id="rId7"/>
    <sheet name="Monthly Schedule" sheetId="6" state="visible" r:id="rId8"/>
    <sheet name="Sources &amp; Uses" sheetId="7" state="visible" r:id="rId9"/>
    <sheet name="Debt Schedule" sheetId="8" state="visible" r:id="rId10"/>
    <sheet name="Returns" sheetId="9" state="visible" r:id="rId11"/>
  </sheets>
  <definedNames>
    <definedName function="false" hidden="true" localSheetId="1" name="_xlnm._FilterDatabase" vbProcedure="false">'Inputs - SKU Register'!$C$9:$P$151</definedName>
    <definedName function="false" hidden="true" localSheetId="2" name="_xlnm._FilterDatabase" vbProcedure="false">'WBS Budget'!$C$9:$P$109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1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1</xdr:col>
                <xdr:colOff>55</xdr:colOff>
                <xdr:row>8</xdr:row>
                <xdr:rowOff>21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5</xdr:rowOff>
              </xdr:from>
              <xdr:to>
                <xdr:col>1</xdr:col>
                <xdr:colOff>55</xdr:colOff>
                <xdr:row>9</xdr:row>
                <xdr:rowOff>60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27</xdr:rowOff>
              </xdr:from>
              <xdr:to>
                <xdr:col>1</xdr:col>
                <xdr:colOff>55</xdr:colOff>
                <xdr:row>10</xdr:row>
                <xdr:rowOff>40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66</xdr:rowOff>
              </xdr:from>
              <xdr:to>
                <xdr:col>1</xdr:col>
                <xdr:colOff>55</xdr:colOff>
                <xdr:row>11</xdr:row>
                <xdr:rowOff>20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46</xdr:rowOff>
              </xdr:from>
              <xdr:to>
                <xdr:col>1</xdr:col>
                <xdr:colOff>55</xdr:colOff>
                <xdr:row>12</xdr:row>
                <xdr:rowOff>0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26</xdr:rowOff>
              </xdr:from>
              <xdr:to>
                <xdr:col>1</xdr:col>
                <xdr:colOff>55</xdr:colOff>
                <xdr:row>12</xdr:row>
                <xdr:rowOff>82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1</xdr:col>
                <xdr:colOff>55</xdr:colOff>
                <xdr:row>13</xdr:row>
                <xdr:rowOff>62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88</xdr:rowOff>
              </xdr:from>
              <xdr:to>
                <xdr:col>1</xdr:col>
                <xdr:colOff>55</xdr:colOff>
                <xdr:row>14</xdr:row>
                <xdr:rowOff>42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68</xdr:rowOff>
              </xdr:from>
              <xdr:to>
                <xdr:col>1</xdr:col>
                <xdr:colOff>55</xdr:colOff>
                <xdr:row>15</xdr:row>
                <xdr:rowOff>22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48</xdr:rowOff>
              </xdr:from>
              <xdr:to>
                <xdr:col>1</xdr:col>
                <xdr:colOff>55</xdr:colOff>
                <xdr:row>16</xdr:row>
                <xdr:rowOff>2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28</xdr:rowOff>
              </xdr:from>
              <xdr:to>
                <xdr:col>1</xdr:col>
                <xdr:colOff>55</xdr:colOff>
                <xdr:row>16</xdr:row>
                <xdr:rowOff>83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1</xdr:col>
                <xdr:colOff>55</xdr:colOff>
                <xdr:row>8</xdr:row>
                <xdr:rowOff>21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5</xdr:rowOff>
              </xdr:from>
              <xdr:to>
                <xdr:col>1</xdr:col>
                <xdr:colOff>55</xdr:colOff>
                <xdr:row>9</xdr:row>
                <xdr:rowOff>60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27</xdr:rowOff>
              </xdr:from>
              <xdr:to>
                <xdr:col>1</xdr:col>
                <xdr:colOff>55</xdr:colOff>
                <xdr:row>10</xdr:row>
                <xdr:rowOff>40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66</xdr:rowOff>
              </xdr:from>
              <xdr:to>
                <xdr:col>1</xdr:col>
                <xdr:colOff>55</xdr:colOff>
                <xdr:row>11</xdr:row>
                <xdr:rowOff>20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46</xdr:rowOff>
              </xdr:from>
              <xdr:to>
                <xdr:col>1</xdr:col>
                <xdr:colOff>55</xdr:colOff>
                <xdr:row>12</xdr:row>
                <xdr:rowOff>0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26</xdr:rowOff>
              </xdr:from>
              <xdr:to>
                <xdr:col>1</xdr:col>
                <xdr:colOff>55</xdr:colOff>
                <xdr:row>12</xdr:row>
                <xdr:rowOff>82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1</xdr:col>
                <xdr:colOff>55</xdr:colOff>
                <xdr:row>13</xdr:row>
                <xdr:rowOff>62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88</xdr:rowOff>
              </xdr:from>
              <xdr:to>
                <xdr:col>1</xdr:col>
                <xdr:colOff>55</xdr:colOff>
                <xdr:row>14</xdr:row>
                <xdr:rowOff>42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68</xdr:rowOff>
              </xdr:from>
              <xdr:to>
                <xdr:col>1</xdr:col>
                <xdr:colOff>55</xdr:colOff>
                <xdr:row>15</xdr:row>
                <xdr:rowOff>22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48</xdr:rowOff>
              </xdr:from>
              <xdr:to>
                <xdr:col>1</xdr:col>
                <xdr:colOff>55</xdr:colOff>
                <xdr:row>16</xdr:row>
                <xdr:rowOff>2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2026-08-21); effective date unknown; estimated historical planning context, not actuals or commitments.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37</xdr:rowOff>
              </xdr:from>
              <xdr:to>
                <xdr:col>1</xdr:col>
                <xdr:colOff>55</xdr:colOff>
                <xdr:row>73</xdr:row>
                <xdr:rowOff>26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J1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1</xdr:col>
                <xdr:colOff>55</xdr:colOff>
                <xdr:row>5</xdr:row>
                <xdr:rowOff>6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</xdr:rowOff>
              </xdr:from>
              <xdr:to>
                <xdr:col>1</xdr:col>
                <xdr:colOff>55</xdr:colOff>
                <xdr:row>7</xdr:row>
                <xdr:rowOff>8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7</xdr:rowOff>
              </xdr:from>
              <xdr:to>
                <xdr:col>1</xdr:col>
                <xdr:colOff>55</xdr:colOff>
                <xdr:row>8</xdr:row>
                <xdr:rowOff>29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1</xdr:col>
                <xdr:colOff>55</xdr:colOff>
                <xdr:row>9</xdr:row>
                <xdr:rowOff>29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30</xdr:rowOff>
              </xdr:from>
              <xdr:to>
                <xdr:col>1</xdr:col>
                <xdr:colOff>55</xdr:colOff>
                <xdr:row>10</xdr:row>
                <xdr:rowOff>9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30</xdr:rowOff>
              </xdr:from>
              <xdr:to>
                <xdr:col>1</xdr:col>
                <xdr:colOff>55</xdr:colOff>
                <xdr:row>10</xdr:row>
                <xdr:rowOff>51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10</xdr:rowOff>
              </xdr:from>
              <xdr:to>
                <xdr:col>1</xdr:col>
                <xdr:colOff>55</xdr:colOff>
                <xdr:row>11</xdr:row>
                <xdr:rowOff>31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52</xdr:rowOff>
              </xdr:from>
              <xdr:to>
                <xdr:col>1</xdr:col>
                <xdr:colOff>55</xdr:colOff>
                <xdr:row>12</xdr:row>
                <xdr:rowOff>11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32</xdr:rowOff>
              </xdr:from>
              <xdr:to>
                <xdr:col>1</xdr:col>
                <xdr:colOff>55</xdr:colOff>
                <xdr:row>12</xdr:row>
                <xdr:rowOff>53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1</xdr:col>
                <xdr:colOff>55</xdr:colOff>
                <xdr:row>13</xdr:row>
                <xdr:rowOff>33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54</xdr:rowOff>
              </xdr:from>
              <xdr:to>
                <xdr:col>1</xdr:col>
                <xdr:colOff>55</xdr:colOff>
                <xdr:row>14</xdr:row>
                <xdr:rowOff>13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34</xdr:rowOff>
              </xdr:from>
              <xdr:to>
                <xdr:col>1</xdr:col>
                <xdr:colOff>55</xdr:colOff>
                <xdr:row>14</xdr:row>
                <xdr:rowOff>54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14</xdr:rowOff>
              </xdr:from>
              <xdr:to>
                <xdr:col>1</xdr:col>
                <xdr:colOff>55</xdr:colOff>
                <xdr:row>15</xdr:row>
                <xdr:rowOff>34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55</xdr:rowOff>
              </xdr:from>
              <xdr:to>
                <xdr:col>1</xdr:col>
                <xdr:colOff>55</xdr:colOff>
                <xdr:row>16</xdr:row>
                <xdr:rowOff>14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35</xdr:rowOff>
              </xdr:from>
              <xdr:to>
                <xdr:col>1</xdr:col>
                <xdr:colOff>55</xdr:colOff>
                <xdr:row>16</xdr:row>
                <xdr:rowOff>56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15</xdr:rowOff>
              </xdr:from>
              <xdr:to>
                <xdr:col>1</xdr:col>
                <xdr:colOff>55</xdr:colOff>
                <xdr:row>17</xdr:row>
                <xdr:rowOff>36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57</xdr:rowOff>
              </xdr:from>
              <xdr:to>
                <xdr:col>1</xdr:col>
                <xdr:colOff>55</xdr:colOff>
                <xdr:row>18</xdr:row>
                <xdr:rowOff>16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37</xdr:rowOff>
              </xdr:from>
              <xdr:to>
                <xdr:col>1</xdr:col>
                <xdr:colOff>55</xdr:colOff>
                <xdr:row>18</xdr:row>
                <xdr:rowOff>58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1</xdr:col>
                <xdr:colOff>55</xdr:colOff>
                <xdr:row>19</xdr:row>
                <xdr:rowOff>38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59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39</xdr:rowOff>
              </xdr:from>
              <xdr:to>
                <xdr:col>1</xdr:col>
                <xdr:colOff>55</xdr:colOff>
                <xdr:row>20</xdr:row>
                <xdr:rowOff>59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19</xdr:rowOff>
              </xdr:from>
              <xdr:to>
                <xdr:col>1</xdr:col>
                <xdr:colOff>55</xdr:colOff>
                <xdr:row>21</xdr:row>
                <xdr:rowOff>39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60</xdr:rowOff>
              </xdr:from>
              <xdr:to>
                <xdr:col>1</xdr:col>
                <xdr:colOff>55</xdr:colOff>
                <xdr:row>22</xdr:row>
                <xdr:rowOff>19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40</xdr:rowOff>
              </xdr:from>
              <xdr:to>
                <xdr:col>1</xdr:col>
                <xdr:colOff>55</xdr:colOff>
                <xdr:row>22</xdr:row>
                <xdr:rowOff>61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20</xdr:rowOff>
              </xdr:from>
              <xdr:to>
                <xdr:col>1</xdr:col>
                <xdr:colOff>55</xdr:colOff>
                <xdr:row>23</xdr:row>
                <xdr:rowOff>41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0</xdr:rowOff>
              </xdr:from>
              <xdr:to>
                <xdr:col>1</xdr:col>
                <xdr:colOff>55</xdr:colOff>
                <xdr:row>24</xdr:row>
                <xdr:rowOff>21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42</xdr:rowOff>
              </xdr:from>
              <xdr:to>
                <xdr:col>1</xdr:col>
                <xdr:colOff>55</xdr:colOff>
                <xdr:row>25</xdr:row>
                <xdr:rowOff>1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22</xdr:rowOff>
              </xdr:from>
              <xdr:to>
                <xdr:col>1</xdr:col>
                <xdr:colOff>55</xdr:colOff>
                <xdr:row>25</xdr:row>
                <xdr:rowOff>43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1</xdr:col>
                <xdr:colOff>55</xdr:colOff>
                <xdr:row>26</xdr:row>
                <xdr:rowOff>23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44</xdr:rowOff>
              </xdr:from>
              <xdr:to>
                <xdr:col>1</xdr:col>
                <xdr:colOff>55</xdr:colOff>
                <xdr:row>27</xdr:row>
                <xdr:rowOff>3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24</xdr:rowOff>
              </xdr:from>
              <xdr:to>
                <xdr:col>1</xdr:col>
                <xdr:colOff>55</xdr:colOff>
                <xdr:row>27</xdr:row>
                <xdr:rowOff>44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4</xdr:rowOff>
              </xdr:from>
              <xdr:to>
                <xdr:col>1</xdr:col>
                <xdr:colOff>55</xdr:colOff>
                <xdr:row>28</xdr:row>
                <xdr:rowOff>24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45</xdr:rowOff>
              </xdr:from>
              <xdr:to>
                <xdr:col>1</xdr:col>
                <xdr:colOff>55</xdr:colOff>
                <xdr:row>29</xdr:row>
                <xdr:rowOff>4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25</xdr:rowOff>
              </xdr:from>
              <xdr:to>
                <xdr:col>1</xdr:col>
                <xdr:colOff>55</xdr:colOff>
                <xdr:row>29</xdr:row>
                <xdr:rowOff>46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5</xdr:rowOff>
              </xdr:from>
              <xdr:to>
                <xdr:col>1</xdr:col>
                <xdr:colOff>55</xdr:colOff>
                <xdr:row>30</xdr:row>
                <xdr:rowOff>26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47</xdr:rowOff>
              </xdr:from>
              <xdr:to>
                <xdr:col>1</xdr:col>
                <xdr:colOff>55</xdr:colOff>
                <xdr:row>31</xdr:row>
                <xdr:rowOff>6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27</xdr:rowOff>
              </xdr:from>
              <xdr:to>
                <xdr:col>1</xdr:col>
                <xdr:colOff>55</xdr:colOff>
                <xdr:row>31</xdr:row>
                <xdr:rowOff>48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1</xdr:col>
                <xdr:colOff>55</xdr:colOff>
                <xdr:row>32</xdr:row>
                <xdr:rowOff>28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49</xdr:rowOff>
              </xdr:from>
              <xdr:to>
                <xdr:col>1</xdr:col>
                <xdr:colOff>55</xdr:colOff>
                <xdr:row>33</xdr:row>
                <xdr:rowOff>8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29</xdr:rowOff>
              </xdr:from>
              <xdr:to>
                <xdr:col>1</xdr:col>
                <xdr:colOff>55</xdr:colOff>
                <xdr:row>33</xdr:row>
                <xdr:rowOff>49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9</xdr:rowOff>
              </xdr:from>
              <xdr:to>
                <xdr:col>1</xdr:col>
                <xdr:colOff>55</xdr:colOff>
                <xdr:row>34</xdr:row>
                <xdr:rowOff>29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50</xdr:rowOff>
              </xdr:from>
              <xdr:to>
                <xdr:col>1</xdr:col>
                <xdr:colOff>55</xdr:colOff>
                <xdr:row>35</xdr:row>
                <xdr:rowOff>9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30</xdr:rowOff>
              </xdr:from>
              <xdr:to>
                <xdr:col>1</xdr:col>
                <xdr:colOff>55</xdr:colOff>
                <xdr:row>35</xdr:row>
                <xdr:rowOff>51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10</xdr:rowOff>
              </xdr:from>
              <xdr:to>
                <xdr:col>1</xdr:col>
                <xdr:colOff>55</xdr:colOff>
                <xdr:row>36</xdr:row>
                <xdr:rowOff>31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52</xdr:rowOff>
              </xdr:from>
              <xdr:to>
                <xdr:col>1</xdr:col>
                <xdr:colOff>55</xdr:colOff>
                <xdr:row>37</xdr:row>
                <xdr:rowOff>11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32</xdr:rowOff>
              </xdr:from>
              <xdr:to>
                <xdr:col>1</xdr:col>
                <xdr:colOff>55</xdr:colOff>
                <xdr:row>37</xdr:row>
                <xdr:rowOff>53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1</xdr:col>
                <xdr:colOff>55</xdr:colOff>
                <xdr:row>38</xdr:row>
                <xdr:rowOff>33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54</xdr:rowOff>
              </xdr:from>
              <xdr:to>
                <xdr:col>1</xdr:col>
                <xdr:colOff>55</xdr:colOff>
                <xdr:row>39</xdr:row>
                <xdr:rowOff>13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34</xdr:rowOff>
              </xdr:from>
              <xdr:to>
                <xdr:col>1</xdr:col>
                <xdr:colOff>55</xdr:colOff>
                <xdr:row>39</xdr:row>
                <xdr:rowOff>54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14</xdr:rowOff>
              </xdr:from>
              <xdr:to>
                <xdr:col>1</xdr:col>
                <xdr:colOff>55</xdr:colOff>
                <xdr:row>40</xdr:row>
                <xdr:rowOff>34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55</xdr:rowOff>
              </xdr:from>
              <xdr:to>
                <xdr:col>1</xdr:col>
                <xdr:colOff>55</xdr:colOff>
                <xdr:row>41</xdr:row>
                <xdr:rowOff>14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35</xdr:rowOff>
              </xdr:from>
              <xdr:to>
                <xdr:col>1</xdr:col>
                <xdr:colOff>55</xdr:colOff>
                <xdr:row>41</xdr:row>
                <xdr:rowOff>56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15</xdr:rowOff>
              </xdr:from>
              <xdr:to>
                <xdr:col>1</xdr:col>
                <xdr:colOff>55</xdr:colOff>
                <xdr:row>42</xdr:row>
                <xdr:rowOff>36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57</xdr:rowOff>
              </xdr:from>
              <xdr:to>
                <xdr:col>1</xdr:col>
                <xdr:colOff>55</xdr:colOff>
                <xdr:row>43</xdr:row>
                <xdr:rowOff>16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37</xdr:rowOff>
              </xdr:from>
              <xdr:to>
                <xdr:col>1</xdr:col>
                <xdr:colOff>55</xdr:colOff>
                <xdr:row>43</xdr:row>
                <xdr:rowOff>58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1</xdr:col>
                <xdr:colOff>55</xdr:colOff>
                <xdr:row>44</xdr:row>
                <xdr:rowOff>38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59</xdr:rowOff>
              </xdr:from>
              <xdr:to>
                <xdr:col>1</xdr:col>
                <xdr:colOff>55</xdr:colOff>
                <xdr:row>45</xdr:row>
                <xdr:rowOff>18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39</xdr:rowOff>
              </xdr:from>
              <xdr:to>
                <xdr:col>1</xdr:col>
                <xdr:colOff>55</xdr:colOff>
                <xdr:row>45</xdr:row>
                <xdr:rowOff>59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19</xdr:rowOff>
              </xdr:from>
              <xdr:to>
                <xdr:col>1</xdr:col>
                <xdr:colOff>55</xdr:colOff>
                <xdr:row>46</xdr:row>
                <xdr:rowOff>39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60</xdr:rowOff>
              </xdr:from>
              <xdr:to>
                <xdr:col>1</xdr:col>
                <xdr:colOff>55</xdr:colOff>
                <xdr:row>47</xdr:row>
                <xdr:rowOff>19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40</xdr:rowOff>
              </xdr:from>
              <xdr:to>
                <xdr:col>1</xdr:col>
                <xdr:colOff>55</xdr:colOff>
                <xdr:row>47</xdr:row>
                <xdr:rowOff>61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20</xdr:rowOff>
              </xdr:from>
              <xdr:to>
                <xdr:col>1</xdr:col>
                <xdr:colOff>55</xdr:colOff>
                <xdr:row>48</xdr:row>
                <xdr:rowOff>41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0</xdr:rowOff>
              </xdr:from>
              <xdr:to>
                <xdr:col>1</xdr:col>
                <xdr:colOff>55</xdr:colOff>
                <xdr:row>49</xdr:row>
                <xdr:rowOff>21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42</xdr:rowOff>
              </xdr:from>
              <xdr:to>
                <xdr:col>1</xdr:col>
                <xdr:colOff>55</xdr:colOff>
                <xdr:row>50</xdr:row>
                <xdr:rowOff>1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22</xdr:rowOff>
              </xdr:from>
              <xdr:to>
                <xdr:col>1</xdr:col>
                <xdr:colOff>55</xdr:colOff>
                <xdr:row>50</xdr:row>
                <xdr:rowOff>43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1</xdr:col>
                <xdr:colOff>55</xdr:colOff>
                <xdr:row>51</xdr:row>
                <xdr:rowOff>23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44</xdr:rowOff>
              </xdr:from>
              <xdr:to>
                <xdr:col>1</xdr:col>
                <xdr:colOff>55</xdr:colOff>
                <xdr:row>52</xdr:row>
                <xdr:rowOff>3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24</xdr:rowOff>
              </xdr:from>
              <xdr:to>
                <xdr:col>1</xdr:col>
                <xdr:colOff>55</xdr:colOff>
                <xdr:row>52</xdr:row>
                <xdr:rowOff>44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4</xdr:rowOff>
              </xdr:from>
              <xdr:to>
                <xdr:col>1</xdr:col>
                <xdr:colOff>55</xdr:colOff>
                <xdr:row>53</xdr:row>
                <xdr:rowOff>24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45</xdr:rowOff>
              </xdr:from>
              <xdr:to>
                <xdr:col>1</xdr:col>
                <xdr:colOff>55</xdr:colOff>
                <xdr:row>54</xdr:row>
                <xdr:rowOff>4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25</xdr:rowOff>
              </xdr:from>
              <xdr:to>
                <xdr:col>1</xdr:col>
                <xdr:colOff>55</xdr:colOff>
                <xdr:row>54</xdr:row>
                <xdr:rowOff>46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5</xdr:rowOff>
              </xdr:from>
              <xdr:to>
                <xdr:col>1</xdr:col>
                <xdr:colOff>55</xdr:colOff>
                <xdr:row>55</xdr:row>
                <xdr:rowOff>26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47</xdr:rowOff>
              </xdr:from>
              <xdr:to>
                <xdr:col>1</xdr:col>
                <xdr:colOff>55</xdr:colOff>
                <xdr:row>56</xdr:row>
                <xdr:rowOff>6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27</xdr:rowOff>
              </xdr:from>
              <xdr:to>
                <xdr:col>1</xdr:col>
                <xdr:colOff>55</xdr:colOff>
                <xdr:row>56</xdr:row>
                <xdr:rowOff>48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1</xdr:col>
                <xdr:colOff>55</xdr:colOff>
                <xdr:row>57</xdr:row>
                <xdr:rowOff>28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49</xdr:rowOff>
              </xdr:from>
              <xdr:to>
                <xdr:col>1</xdr:col>
                <xdr:colOff>55</xdr:colOff>
                <xdr:row>58</xdr:row>
                <xdr:rowOff>8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29</xdr:rowOff>
              </xdr:from>
              <xdr:to>
                <xdr:col>1</xdr:col>
                <xdr:colOff>55</xdr:colOff>
                <xdr:row>58</xdr:row>
                <xdr:rowOff>49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9</xdr:rowOff>
              </xdr:from>
              <xdr:to>
                <xdr:col>1</xdr:col>
                <xdr:colOff>55</xdr:colOff>
                <xdr:row>59</xdr:row>
                <xdr:rowOff>29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50</xdr:rowOff>
              </xdr:from>
              <xdr:to>
                <xdr:col>1</xdr:col>
                <xdr:colOff>55</xdr:colOff>
                <xdr:row>60</xdr:row>
                <xdr:rowOff>9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30</xdr:rowOff>
              </xdr:from>
              <xdr:to>
                <xdr:col>1</xdr:col>
                <xdr:colOff>55</xdr:colOff>
                <xdr:row>60</xdr:row>
                <xdr:rowOff>51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10</xdr:rowOff>
              </xdr:from>
              <xdr:to>
                <xdr:col>1</xdr:col>
                <xdr:colOff>55</xdr:colOff>
                <xdr:row>61</xdr:row>
                <xdr:rowOff>31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52</xdr:rowOff>
              </xdr:from>
              <xdr:to>
                <xdr:col>1</xdr:col>
                <xdr:colOff>55</xdr:colOff>
                <xdr:row>62</xdr:row>
                <xdr:rowOff>11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32</xdr:rowOff>
              </xdr:from>
              <xdr:to>
                <xdr:col>1</xdr:col>
                <xdr:colOff>55</xdr:colOff>
                <xdr:row>62</xdr:row>
                <xdr:rowOff>53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1</xdr:col>
                <xdr:colOff>55</xdr:colOff>
                <xdr:row>63</xdr:row>
                <xdr:rowOff>33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54</xdr:rowOff>
              </xdr:from>
              <xdr:to>
                <xdr:col>1</xdr:col>
                <xdr:colOff>55</xdr:colOff>
                <xdr:row>64</xdr:row>
                <xdr:rowOff>13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34</xdr:rowOff>
              </xdr:from>
              <xdr:to>
                <xdr:col>1</xdr:col>
                <xdr:colOff>55</xdr:colOff>
                <xdr:row>64</xdr:row>
                <xdr:rowOff>54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14</xdr:rowOff>
              </xdr:from>
              <xdr:to>
                <xdr:col>1</xdr:col>
                <xdr:colOff>55</xdr:colOff>
                <xdr:row>65</xdr:row>
                <xdr:rowOff>34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55</xdr:rowOff>
              </xdr:from>
              <xdr:to>
                <xdr:col>1</xdr:col>
                <xdr:colOff>55</xdr:colOff>
                <xdr:row>66</xdr:row>
                <xdr:rowOff>14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35</xdr:rowOff>
              </xdr:from>
              <xdr:to>
                <xdr:col>1</xdr:col>
                <xdr:colOff>55</xdr:colOff>
                <xdr:row>66</xdr:row>
                <xdr:rowOff>56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15</xdr:rowOff>
              </xdr:from>
              <xdr:to>
                <xdr:col>1</xdr:col>
                <xdr:colOff>55</xdr:colOff>
                <xdr:row>67</xdr:row>
                <xdr:rowOff>36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57</xdr:rowOff>
              </xdr:from>
              <xdr:to>
                <xdr:col>1</xdr:col>
                <xdr:colOff>55</xdr:colOff>
                <xdr:row>68</xdr:row>
                <xdr:rowOff>16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37</xdr:rowOff>
              </xdr:from>
              <xdr:to>
                <xdr:col>1</xdr:col>
                <xdr:colOff>55</xdr:colOff>
                <xdr:row>68</xdr:row>
                <xdr:rowOff>58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1</xdr:col>
                <xdr:colOff>55</xdr:colOff>
                <xdr:row>69</xdr:row>
                <xdr:rowOff>38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59</xdr:rowOff>
              </xdr:from>
              <xdr:to>
                <xdr:col>1</xdr:col>
                <xdr:colOff>55</xdr:colOff>
                <xdr:row>70</xdr:row>
                <xdr:rowOff>18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39</xdr:rowOff>
              </xdr:from>
              <xdr:to>
                <xdr:col>1</xdr:col>
                <xdr:colOff>55</xdr:colOff>
                <xdr:row>70</xdr:row>
                <xdr:rowOff>59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19</xdr:rowOff>
              </xdr:from>
              <xdr:to>
                <xdr:col>1</xdr:col>
                <xdr:colOff>55</xdr:colOff>
                <xdr:row>71</xdr:row>
                <xdr:rowOff>39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60</xdr:rowOff>
              </xdr:from>
              <xdr:to>
                <xdr:col>1</xdr:col>
                <xdr:colOff>55</xdr:colOff>
                <xdr:row>72</xdr:row>
                <xdr:rowOff>19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40</xdr:rowOff>
              </xdr:from>
              <xdr:to>
                <xdr:col>1</xdr:col>
                <xdr:colOff>55</xdr:colOff>
                <xdr:row>72</xdr:row>
                <xdr:rowOff>61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20</xdr:rowOff>
              </xdr:from>
              <xdr:to>
                <xdr:col>1</xdr:col>
                <xdr:colOff>55</xdr:colOff>
                <xdr:row>73</xdr:row>
                <xdr:rowOff>41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0</xdr:rowOff>
              </xdr:from>
              <xdr:to>
                <xdr:col>1</xdr:col>
                <xdr:colOff>55</xdr:colOff>
                <xdr:row>74</xdr:row>
                <xdr:rowOff>21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1</xdr:col>
                <xdr:colOff>55</xdr:colOff>
                <xdr:row>5</xdr:row>
                <xdr:rowOff>6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</xdr:rowOff>
              </xdr:from>
              <xdr:to>
                <xdr:col>1</xdr:col>
                <xdr:colOff>55</xdr:colOff>
                <xdr:row>7</xdr:row>
                <xdr:rowOff>8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7</xdr:rowOff>
              </xdr:from>
              <xdr:to>
                <xdr:col>1</xdr:col>
                <xdr:colOff>55</xdr:colOff>
                <xdr:row>8</xdr:row>
                <xdr:rowOff>29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1</xdr:col>
                <xdr:colOff>55</xdr:colOff>
                <xdr:row>9</xdr:row>
                <xdr:rowOff>29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30</xdr:rowOff>
              </xdr:from>
              <xdr:to>
                <xdr:col>1</xdr:col>
                <xdr:colOff>55</xdr:colOff>
                <xdr:row>10</xdr:row>
                <xdr:rowOff>9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30</xdr:rowOff>
              </xdr:from>
              <xdr:to>
                <xdr:col>1</xdr:col>
                <xdr:colOff>55</xdr:colOff>
                <xdr:row>10</xdr:row>
                <xdr:rowOff>51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10</xdr:rowOff>
              </xdr:from>
              <xdr:to>
                <xdr:col>1</xdr:col>
                <xdr:colOff>55</xdr:colOff>
                <xdr:row>11</xdr:row>
                <xdr:rowOff>31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52</xdr:rowOff>
              </xdr:from>
              <xdr:to>
                <xdr:col>1</xdr:col>
                <xdr:colOff>55</xdr:colOff>
                <xdr:row>12</xdr:row>
                <xdr:rowOff>11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32</xdr:rowOff>
              </xdr:from>
              <xdr:to>
                <xdr:col>1</xdr:col>
                <xdr:colOff>55</xdr:colOff>
                <xdr:row>12</xdr:row>
                <xdr:rowOff>53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1</xdr:col>
                <xdr:colOff>55</xdr:colOff>
                <xdr:row>13</xdr:row>
                <xdr:rowOff>33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54</xdr:rowOff>
              </xdr:from>
              <xdr:to>
                <xdr:col>1</xdr:col>
                <xdr:colOff>55</xdr:colOff>
                <xdr:row>14</xdr:row>
                <xdr:rowOff>13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34</xdr:rowOff>
              </xdr:from>
              <xdr:to>
                <xdr:col>1</xdr:col>
                <xdr:colOff>55</xdr:colOff>
                <xdr:row>14</xdr:row>
                <xdr:rowOff>54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14</xdr:rowOff>
              </xdr:from>
              <xdr:to>
                <xdr:col>1</xdr:col>
                <xdr:colOff>55</xdr:colOff>
                <xdr:row>15</xdr:row>
                <xdr:rowOff>34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55</xdr:rowOff>
              </xdr:from>
              <xdr:to>
                <xdr:col>1</xdr:col>
                <xdr:colOff>55</xdr:colOff>
                <xdr:row>16</xdr:row>
                <xdr:rowOff>14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35</xdr:rowOff>
              </xdr:from>
              <xdr:to>
                <xdr:col>1</xdr:col>
                <xdr:colOff>55</xdr:colOff>
                <xdr:row>16</xdr:row>
                <xdr:rowOff>56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15</xdr:rowOff>
              </xdr:from>
              <xdr:to>
                <xdr:col>1</xdr:col>
                <xdr:colOff>55</xdr:colOff>
                <xdr:row>17</xdr:row>
                <xdr:rowOff>36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57</xdr:rowOff>
              </xdr:from>
              <xdr:to>
                <xdr:col>1</xdr:col>
                <xdr:colOff>55</xdr:colOff>
                <xdr:row>18</xdr:row>
                <xdr:rowOff>16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37</xdr:rowOff>
              </xdr:from>
              <xdr:to>
                <xdr:col>1</xdr:col>
                <xdr:colOff>55</xdr:colOff>
                <xdr:row>18</xdr:row>
                <xdr:rowOff>58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1</xdr:col>
                <xdr:colOff>55</xdr:colOff>
                <xdr:row>19</xdr:row>
                <xdr:rowOff>38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59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39</xdr:rowOff>
              </xdr:from>
              <xdr:to>
                <xdr:col>1</xdr:col>
                <xdr:colOff>55</xdr:colOff>
                <xdr:row>20</xdr:row>
                <xdr:rowOff>59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19</xdr:rowOff>
              </xdr:from>
              <xdr:to>
                <xdr:col>1</xdr:col>
                <xdr:colOff>55</xdr:colOff>
                <xdr:row>21</xdr:row>
                <xdr:rowOff>39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60</xdr:rowOff>
              </xdr:from>
              <xdr:to>
                <xdr:col>1</xdr:col>
                <xdr:colOff>55</xdr:colOff>
                <xdr:row>22</xdr:row>
                <xdr:rowOff>19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40</xdr:rowOff>
              </xdr:from>
              <xdr:to>
                <xdr:col>1</xdr:col>
                <xdr:colOff>55</xdr:colOff>
                <xdr:row>22</xdr:row>
                <xdr:rowOff>61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20</xdr:rowOff>
              </xdr:from>
              <xdr:to>
                <xdr:col>1</xdr:col>
                <xdr:colOff>55</xdr:colOff>
                <xdr:row>23</xdr:row>
                <xdr:rowOff>41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0</xdr:rowOff>
              </xdr:from>
              <xdr:to>
                <xdr:col>1</xdr:col>
                <xdr:colOff>55</xdr:colOff>
                <xdr:row>24</xdr:row>
                <xdr:rowOff>21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42</xdr:rowOff>
              </xdr:from>
              <xdr:to>
                <xdr:col>1</xdr:col>
                <xdr:colOff>55</xdr:colOff>
                <xdr:row>25</xdr:row>
                <xdr:rowOff>1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22</xdr:rowOff>
              </xdr:from>
              <xdr:to>
                <xdr:col>1</xdr:col>
                <xdr:colOff>55</xdr:colOff>
                <xdr:row>25</xdr:row>
                <xdr:rowOff>43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1</xdr:col>
                <xdr:colOff>55</xdr:colOff>
                <xdr:row>26</xdr:row>
                <xdr:rowOff>23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44</xdr:rowOff>
              </xdr:from>
              <xdr:to>
                <xdr:col>1</xdr:col>
                <xdr:colOff>55</xdr:colOff>
                <xdr:row>27</xdr:row>
                <xdr:rowOff>3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24</xdr:rowOff>
              </xdr:from>
              <xdr:to>
                <xdr:col>1</xdr:col>
                <xdr:colOff>55</xdr:colOff>
                <xdr:row>27</xdr:row>
                <xdr:rowOff>44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4</xdr:rowOff>
              </xdr:from>
              <xdr:to>
                <xdr:col>1</xdr:col>
                <xdr:colOff>55</xdr:colOff>
                <xdr:row>28</xdr:row>
                <xdr:rowOff>24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45</xdr:rowOff>
              </xdr:from>
              <xdr:to>
                <xdr:col>1</xdr:col>
                <xdr:colOff>55</xdr:colOff>
                <xdr:row>29</xdr:row>
                <xdr:rowOff>4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25</xdr:rowOff>
              </xdr:from>
              <xdr:to>
                <xdr:col>1</xdr:col>
                <xdr:colOff>55</xdr:colOff>
                <xdr:row>29</xdr:row>
                <xdr:rowOff>46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5</xdr:rowOff>
              </xdr:from>
              <xdr:to>
                <xdr:col>1</xdr:col>
                <xdr:colOff>55</xdr:colOff>
                <xdr:row>30</xdr:row>
                <xdr:rowOff>26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47</xdr:rowOff>
              </xdr:from>
              <xdr:to>
                <xdr:col>1</xdr:col>
                <xdr:colOff>55</xdr:colOff>
                <xdr:row>31</xdr:row>
                <xdr:rowOff>6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27</xdr:rowOff>
              </xdr:from>
              <xdr:to>
                <xdr:col>1</xdr:col>
                <xdr:colOff>55</xdr:colOff>
                <xdr:row>31</xdr:row>
                <xdr:rowOff>48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1</xdr:col>
                <xdr:colOff>55</xdr:colOff>
                <xdr:row>32</xdr:row>
                <xdr:rowOff>28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49</xdr:rowOff>
              </xdr:from>
              <xdr:to>
                <xdr:col>1</xdr:col>
                <xdr:colOff>55</xdr:colOff>
                <xdr:row>33</xdr:row>
                <xdr:rowOff>8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29</xdr:rowOff>
              </xdr:from>
              <xdr:to>
                <xdr:col>1</xdr:col>
                <xdr:colOff>55</xdr:colOff>
                <xdr:row>33</xdr:row>
                <xdr:rowOff>49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9</xdr:rowOff>
              </xdr:from>
              <xdr:to>
                <xdr:col>1</xdr:col>
                <xdr:colOff>55</xdr:colOff>
                <xdr:row>34</xdr:row>
                <xdr:rowOff>29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50</xdr:rowOff>
              </xdr:from>
              <xdr:to>
                <xdr:col>1</xdr:col>
                <xdr:colOff>55</xdr:colOff>
                <xdr:row>35</xdr:row>
                <xdr:rowOff>9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30</xdr:rowOff>
              </xdr:from>
              <xdr:to>
                <xdr:col>1</xdr:col>
                <xdr:colOff>55</xdr:colOff>
                <xdr:row>35</xdr:row>
                <xdr:rowOff>51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10</xdr:rowOff>
              </xdr:from>
              <xdr:to>
                <xdr:col>1</xdr:col>
                <xdr:colOff>55</xdr:colOff>
                <xdr:row>36</xdr:row>
                <xdr:rowOff>31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52</xdr:rowOff>
              </xdr:from>
              <xdr:to>
                <xdr:col>1</xdr:col>
                <xdr:colOff>55</xdr:colOff>
                <xdr:row>37</xdr:row>
                <xdr:rowOff>11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32</xdr:rowOff>
              </xdr:from>
              <xdr:to>
                <xdr:col>1</xdr:col>
                <xdr:colOff>55</xdr:colOff>
                <xdr:row>37</xdr:row>
                <xdr:rowOff>53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1</xdr:col>
                <xdr:colOff>55</xdr:colOff>
                <xdr:row>38</xdr:row>
                <xdr:rowOff>33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54</xdr:rowOff>
              </xdr:from>
              <xdr:to>
                <xdr:col>1</xdr:col>
                <xdr:colOff>55</xdr:colOff>
                <xdr:row>39</xdr:row>
                <xdr:rowOff>13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34</xdr:rowOff>
              </xdr:from>
              <xdr:to>
                <xdr:col>1</xdr:col>
                <xdr:colOff>55</xdr:colOff>
                <xdr:row>39</xdr:row>
                <xdr:rowOff>54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14</xdr:rowOff>
              </xdr:from>
              <xdr:to>
                <xdr:col>1</xdr:col>
                <xdr:colOff>55</xdr:colOff>
                <xdr:row>40</xdr:row>
                <xdr:rowOff>34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55</xdr:rowOff>
              </xdr:from>
              <xdr:to>
                <xdr:col>1</xdr:col>
                <xdr:colOff>55</xdr:colOff>
                <xdr:row>41</xdr:row>
                <xdr:rowOff>14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35</xdr:rowOff>
              </xdr:from>
              <xdr:to>
                <xdr:col>1</xdr:col>
                <xdr:colOff>55</xdr:colOff>
                <xdr:row>41</xdr:row>
                <xdr:rowOff>56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15</xdr:rowOff>
              </xdr:from>
              <xdr:to>
                <xdr:col>1</xdr:col>
                <xdr:colOff>55</xdr:colOff>
                <xdr:row>42</xdr:row>
                <xdr:rowOff>36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57</xdr:rowOff>
              </xdr:from>
              <xdr:to>
                <xdr:col>1</xdr:col>
                <xdr:colOff>55</xdr:colOff>
                <xdr:row>43</xdr:row>
                <xdr:rowOff>16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37</xdr:rowOff>
              </xdr:from>
              <xdr:to>
                <xdr:col>1</xdr:col>
                <xdr:colOff>55</xdr:colOff>
                <xdr:row>43</xdr:row>
                <xdr:rowOff>58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1</xdr:col>
                <xdr:colOff>55</xdr:colOff>
                <xdr:row>44</xdr:row>
                <xdr:rowOff>38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59</xdr:rowOff>
              </xdr:from>
              <xdr:to>
                <xdr:col>1</xdr:col>
                <xdr:colOff>55</xdr:colOff>
                <xdr:row>45</xdr:row>
                <xdr:rowOff>18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39</xdr:rowOff>
              </xdr:from>
              <xdr:to>
                <xdr:col>1</xdr:col>
                <xdr:colOff>55</xdr:colOff>
                <xdr:row>45</xdr:row>
                <xdr:rowOff>59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19</xdr:rowOff>
              </xdr:from>
              <xdr:to>
                <xdr:col>1</xdr:col>
                <xdr:colOff>55</xdr:colOff>
                <xdr:row>46</xdr:row>
                <xdr:rowOff>39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60</xdr:rowOff>
              </xdr:from>
              <xdr:to>
                <xdr:col>1</xdr:col>
                <xdr:colOff>55</xdr:colOff>
                <xdr:row>47</xdr:row>
                <xdr:rowOff>19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40</xdr:rowOff>
              </xdr:from>
              <xdr:to>
                <xdr:col>1</xdr:col>
                <xdr:colOff>55</xdr:colOff>
                <xdr:row>47</xdr:row>
                <xdr:rowOff>61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20</xdr:rowOff>
              </xdr:from>
              <xdr:to>
                <xdr:col>1</xdr:col>
                <xdr:colOff>55</xdr:colOff>
                <xdr:row>48</xdr:row>
                <xdr:rowOff>41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0</xdr:rowOff>
              </xdr:from>
              <xdr:to>
                <xdr:col>1</xdr:col>
                <xdr:colOff>55</xdr:colOff>
                <xdr:row>49</xdr:row>
                <xdr:rowOff>21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42</xdr:rowOff>
              </xdr:from>
              <xdr:to>
                <xdr:col>1</xdr:col>
                <xdr:colOff>55</xdr:colOff>
                <xdr:row>50</xdr:row>
                <xdr:rowOff>1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22</xdr:rowOff>
              </xdr:from>
              <xdr:to>
                <xdr:col>1</xdr:col>
                <xdr:colOff>55</xdr:colOff>
                <xdr:row>50</xdr:row>
                <xdr:rowOff>43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1</xdr:col>
                <xdr:colOff>55</xdr:colOff>
                <xdr:row>51</xdr:row>
                <xdr:rowOff>23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44</xdr:rowOff>
              </xdr:from>
              <xdr:to>
                <xdr:col>1</xdr:col>
                <xdr:colOff>55</xdr:colOff>
                <xdr:row>52</xdr:row>
                <xdr:rowOff>3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24</xdr:rowOff>
              </xdr:from>
              <xdr:to>
                <xdr:col>1</xdr:col>
                <xdr:colOff>55</xdr:colOff>
                <xdr:row>52</xdr:row>
                <xdr:rowOff>44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4</xdr:rowOff>
              </xdr:from>
              <xdr:to>
                <xdr:col>1</xdr:col>
                <xdr:colOff>55</xdr:colOff>
                <xdr:row>53</xdr:row>
                <xdr:rowOff>24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45</xdr:rowOff>
              </xdr:from>
              <xdr:to>
                <xdr:col>1</xdr:col>
                <xdr:colOff>55</xdr:colOff>
                <xdr:row>54</xdr:row>
                <xdr:rowOff>4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25</xdr:rowOff>
              </xdr:from>
              <xdr:to>
                <xdr:col>1</xdr:col>
                <xdr:colOff>55</xdr:colOff>
                <xdr:row>54</xdr:row>
                <xdr:rowOff>46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5</xdr:rowOff>
              </xdr:from>
              <xdr:to>
                <xdr:col>1</xdr:col>
                <xdr:colOff>55</xdr:colOff>
                <xdr:row>55</xdr:row>
                <xdr:rowOff>26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47</xdr:rowOff>
              </xdr:from>
              <xdr:to>
                <xdr:col>1</xdr:col>
                <xdr:colOff>55</xdr:colOff>
                <xdr:row>56</xdr:row>
                <xdr:rowOff>6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27</xdr:rowOff>
              </xdr:from>
              <xdr:to>
                <xdr:col>1</xdr:col>
                <xdr:colOff>55</xdr:colOff>
                <xdr:row>56</xdr:row>
                <xdr:rowOff>48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1</xdr:col>
                <xdr:colOff>55</xdr:colOff>
                <xdr:row>57</xdr:row>
                <xdr:rowOff>28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49</xdr:rowOff>
              </xdr:from>
              <xdr:to>
                <xdr:col>1</xdr:col>
                <xdr:colOff>55</xdr:colOff>
                <xdr:row>58</xdr:row>
                <xdr:rowOff>8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29</xdr:rowOff>
              </xdr:from>
              <xdr:to>
                <xdr:col>1</xdr:col>
                <xdr:colOff>55</xdr:colOff>
                <xdr:row>58</xdr:row>
                <xdr:rowOff>49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9</xdr:rowOff>
              </xdr:from>
              <xdr:to>
                <xdr:col>1</xdr:col>
                <xdr:colOff>55</xdr:colOff>
                <xdr:row>59</xdr:row>
                <xdr:rowOff>29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50</xdr:rowOff>
              </xdr:from>
              <xdr:to>
                <xdr:col>1</xdr:col>
                <xdr:colOff>55</xdr:colOff>
                <xdr:row>60</xdr:row>
                <xdr:rowOff>9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30</xdr:rowOff>
              </xdr:from>
              <xdr:to>
                <xdr:col>1</xdr:col>
                <xdr:colOff>55</xdr:colOff>
                <xdr:row>60</xdr:row>
                <xdr:rowOff>51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10</xdr:rowOff>
              </xdr:from>
              <xdr:to>
                <xdr:col>1</xdr:col>
                <xdr:colOff>55</xdr:colOff>
                <xdr:row>61</xdr:row>
                <xdr:rowOff>31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52</xdr:rowOff>
              </xdr:from>
              <xdr:to>
                <xdr:col>1</xdr:col>
                <xdr:colOff>55</xdr:colOff>
                <xdr:row>62</xdr:row>
                <xdr:rowOff>11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32</xdr:rowOff>
              </xdr:from>
              <xdr:to>
                <xdr:col>1</xdr:col>
                <xdr:colOff>55</xdr:colOff>
                <xdr:row>62</xdr:row>
                <xdr:rowOff>53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1</xdr:col>
                <xdr:colOff>55</xdr:colOff>
                <xdr:row>63</xdr:row>
                <xdr:rowOff>33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54</xdr:rowOff>
              </xdr:from>
              <xdr:to>
                <xdr:col>1</xdr:col>
                <xdr:colOff>55</xdr:colOff>
                <xdr:row>64</xdr:row>
                <xdr:rowOff>13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34</xdr:rowOff>
              </xdr:from>
              <xdr:to>
                <xdr:col>1</xdr:col>
                <xdr:colOff>55</xdr:colOff>
                <xdr:row>64</xdr:row>
                <xdr:rowOff>54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14</xdr:rowOff>
              </xdr:from>
              <xdr:to>
                <xdr:col>1</xdr:col>
                <xdr:colOff>55</xdr:colOff>
                <xdr:row>65</xdr:row>
                <xdr:rowOff>34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55</xdr:rowOff>
              </xdr:from>
              <xdr:to>
                <xdr:col>1</xdr:col>
                <xdr:colOff>55</xdr:colOff>
                <xdr:row>66</xdr:row>
                <xdr:rowOff>14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35</xdr:rowOff>
              </xdr:from>
              <xdr:to>
                <xdr:col>1</xdr:col>
                <xdr:colOff>55</xdr:colOff>
                <xdr:row>66</xdr:row>
                <xdr:rowOff>56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15</xdr:rowOff>
              </xdr:from>
              <xdr:to>
                <xdr:col>1</xdr:col>
                <xdr:colOff>55</xdr:colOff>
                <xdr:row>67</xdr:row>
                <xdr:rowOff>36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57</xdr:rowOff>
              </xdr:from>
              <xdr:to>
                <xdr:col>1</xdr:col>
                <xdr:colOff>55</xdr:colOff>
                <xdr:row>68</xdr:row>
                <xdr:rowOff>16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37</xdr:rowOff>
              </xdr:from>
              <xdr:to>
                <xdr:col>1</xdr:col>
                <xdr:colOff>55</xdr:colOff>
                <xdr:row>68</xdr:row>
                <xdr:rowOff>58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1</xdr:col>
                <xdr:colOff>55</xdr:colOff>
                <xdr:row>69</xdr:row>
                <xdr:rowOff>38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59</xdr:rowOff>
              </xdr:from>
              <xdr:to>
                <xdr:col>1</xdr:col>
                <xdr:colOff>55</xdr:colOff>
                <xdr:row>70</xdr:row>
                <xdr:rowOff>18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39</xdr:rowOff>
              </xdr:from>
              <xdr:to>
                <xdr:col>1</xdr:col>
                <xdr:colOff>55</xdr:colOff>
                <xdr:row>70</xdr:row>
                <xdr:rowOff>59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19</xdr:rowOff>
              </xdr:from>
              <xdr:to>
                <xdr:col>1</xdr:col>
                <xdr:colOff>55</xdr:colOff>
                <xdr:row>71</xdr:row>
                <xdr:rowOff>39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60</xdr:rowOff>
              </xdr:from>
              <xdr:to>
                <xdr:col>1</xdr:col>
                <xdr:colOff>55</xdr:colOff>
                <xdr:row>72</xdr:row>
                <xdr:rowOff>19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40</xdr:rowOff>
              </xdr:from>
              <xdr:to>
                <xdr:col>1</xdr:col>
                <xdr:colOff>55</xdr:colOff>
                <xdr:row>72</xdr:row>
                <xdr:rowOff>61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20</xdr:rowOff>
              </xdr:from>
              <xdr:to>
                <xdr:col>1</xdr:col>
                <xdr:colOff>55</xdr:colOff>
                <xdr:row>73</xdr:row>
                <xdr:rowOff>41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User-authorized historical planning briefing (pasted_content_21.txt, received 2026-08-21)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0</xdr:rowOff>
              </xdr:from>
              <xdr:to>
                <xdr:col>1</xdr:col>
                <xdr:colOff>55</xdr:colOff>
                <xdr:row>74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<sst xmlns="http://schemas.openxmlformats.org/spreadsheetml/2006/main" count="2844" uniqueCount="799">
  <si>
    <t xml:space="preserve">Cedarwood Flats | Underwriting Model Summary</t>
  </si>
  <si>
    <t xml:space="preserve">SKU-level model built from user-authorized historical planning figures and editable projected assumptions. This workbook is an underwriting tool—not a record of actual performance.</t>
  </si>
  <si>
    <t xml:space="preserve">($ in whole dollars unless noted)</t>
  </si>
  <si>
    <t xml:space="preserve">HISTORICAL PLANNING CONTROLS</t>
  </si>
  <si>
    <t xml:space="preserve">Metric</t>
  </si>
  <si>
    <t xml:space="preserve">Value</t>
  </si>
  <si>
    <t xml:space="preserve">Source / Formula</t>
  </si>
  <si>
    <t xml:space="preserve">Status</t>
  </si>
  <si>
    <t xml:space="preserve">Model Treatment</t>
  </si>
  <si>
    <t xml:space="preserve">Development cost control</t>
  </si>
  <si>
    <t xml:space="preserve">Authorized historical planning input</t>
  </si>
  <si>
    <t xml:space="preserve">Estimated historical planning</t>
  </si>
  <si>
    <t xml:space="preserve">Controls WBS reconciliation</t>
  </si>
  <si>
    <t xml:space="preserve">100-line WBS total</t>
  </si>
  <si>
    <t xml:space="preserve">Linked WBS total</t>
  </si>
  <si>
    <t xml:space="preserve">Formula</t>
  </si>
  <si>
    <t xml:space="preserve">Budget control</t>
  </si>
  <si>
    <t xml:space="preserve">WBS reconciliation</t>
  </si>
  <si>
    <t xml:space="preserve">WBS total less $40M control</t>
  </si>
  <si>
    <t xml:space="preserve">Must equal $0.0</t>
  </si>
  <si>
    <t xml:space="preserve">Program units</t>
  </si>
  <si>
    <t xml:space="preserve">Program reference</t>
  </si>
  <si>
    <t xml:space="preserve">Buildings</t>
  </si>
  <si>
    <t xml:space="preserve">Annual NOI reference</t>
  </si>
  <si>
    <t xml:space="preserve">Reference only; not used to back-solve rents</t>
  </si>
  <si>
    <t xml:space="preserve">Historical yield on cost</t>
  </si>
  <si>
    <t xml:space="preserve">$4.75M / $40M</t>
  </si>
  <si>
    <t xml:space="preserve">Derived historical planning</t>
  </si>
  <si>
    <t xml:space="preserve">Reference metric</t>
  </si>
  <si>
    <t xml:space="preserve">Financing reference</t>
  </si>
  <si>
    <t xml:space="preserve">Reference only; not funded capital</t>
  </si>
  <si>
    <t xml:space="preserve">ACTIVE UNDERWRITING CASE STATUS</t>
  </si>
  <si>
    <t xml:space="preserve">Required Driver Block</t>
  </si>
  <si>
    <t xml:space="preserve">SKU Lines</t>
  </si>
  <si>
    <t xml:space="preserve">Completion</t>
  </si>
  <si>
    <t xml:space="preserve">What the Model Does</t>
  </si>
  <si>
    <t xml:space="preserve">Unit mix / market rent</t>
  </si>
  <si>
    <t xml:space="preserve">REV-*</t>
  </si>
  <si>
    <t xml:space="preserve">Activates gross potential rent when populated.</t>
  </si>
  <si>
    <t xml:space="preserve">Operating expenses</t>
  </si>
  <si>
    <t xml:space="preserve">OPX-*</t>
  </si>
  <si>
    <t xml:space="preserve">Activates EGI and NOI when populated.</t>
  </si>
  <si>
    <t xml:space="preserve">36-month timing</t>
  </si>
  <si>
    <t xml:space="preserve">SCH-*</t>
  </si>
  <si>
    <t xml:space="preserve">Activates monthly construction and lease-up cash flow.</t>
  </si>
  <si>
    <t xml:space="preserve">Financing terms</t>
  </si>
  <si>
    <t xml:space="preserve">FIN-010 to FIN-017</t>
  </si>
  <si>
    <t xml:space="preserve">Activates debt service and levered cash flow.</t>
  </si>
  <si>
    <t xml:space="preserve">Exit / return drivers</t>
  </si>
  <si>
    <t xml:space="preserve">EXIT-*</t>
  </si>
  <si>
    <t xml:space="preserve">Supports exit and terminal-value analysis once entered.</t>
  </si>
  <si>
    <t xml:space="preserve">MODEL NAVIGATION</t>
  </si>
  <si>
    <t xml:space="preserve">Tab</t>
  </si>
  <si>
    <t xml:space="preserve">Purpose</t>
  </si>
  <si>
    <t xml:space="preserve">Required Action</t>
  </si>
  <si>
    <t xml:space="preserve">Inputs - SKU Register</t>
  </si>
  <si>
    <t xml:space="preserve">All required numbers have a SKU and source field.</t>
  </si>
  <si>
    <t xml:space="preserve">Enter blue-font Base / Downside / Upside input cells with source comments.</t>
  </si>
  <si>
    <t xml:space="preserve">WBS Budget</t>
  </si>
  <si>
    <t xml:space="preserve">100 development budget entries totaling $40M.</t>
  </si>
  <si>
    <t xml:space="preserve">Use as the project cost control and replace allowances only with sourced revisions.</t>
  </si>
  <si>
    <t xml:space="preserve">Rent Roll</t>
  </si>
  <si>
    <t xml:space="preserve">Unit-type program and market-rent build.</t>
  </si>
  <si>
    <t xml:space="preserve">Enter unit counts, SF, rents, and occupancy by unit type.</t>
  </si>
  <si>
    <t xml:space="preserve">Revenue &amp; Operations</t>
  </si>
  <si>
    <t xml:space="preserve">Stabilized operating statement.</t>
  </si>
  <si>
    <t xml:space="preserve">Enter each operating expense line; do not force the historical NOI reference.</t>
  </si>
  <si>
    <t xml:space="preserve">Monthly Schedule</t>
  </si>
  <si>
    <t xml:space="preserve">36-month construction and lease-up timing.</t>
  </si>
  <si>
    <t xml:space="preserve">Enter construction deployment and occupancy each month.</t>
  </si>
  <si>
    <t xml:space="preserve">Sources &amp; Uses / Debt Schedule</t>
  </si>
  <si>
    <t xml:space="preserve">Capital structure and debt mechanics.</t>
  </si>
  <si>
    <t xml:space="preserve">Enter active debt terms and actual intended sources.</t>
  </si>
  <si>
    <t xml:space="preserve">Returns</t>
  </si>
  <si>
    <t xml:space="preserve">Monthly levered cash flow and return calculations.</t>
  </si>
  <si>
    <t xml:space="preserve">Review only after the linked underlying schedules are complete.</t>
  </si>
  <si>
    <t xml:space="preserve">Cedarwood Flats | SKU-Level Assumptions &amp; Input Register</t>
  </si>
  <si>
    <t xml:space="preserve">Every number required by the underwriting model is represented below. Blue-font cells are hardcoded planning inputs; blank blue-font cells require entry.</t>
  </si>
  <si>
    <t xml:space="preserve">AUTHORIZED HISTORICAL PLANNING INPUTS AND EDITABLE UNDERWRITING DRIVERS</t>
  </si>
  <si>
    <t xml:space="preserve">SKU</t>
  </si>
  <si>
    <t xml:space="preserve">Input Category</t>
  </si>
  <si>
    <t xml:space="preserve">Driver / Number Required</t>
  </si>
  <si>
    <t xml:space="preserve">Unit</t>
  </si>
  <si>
    <t xml:space="preserve">Historical Planning</t>
  </si>
  <si>
    <t xml:space="preserve">Base Case</t>
  </si>
  <si>
    <t xml:space="preserve">Downside</t>
  </si>
  <si>
    <t xml:space="preserve">Upside</t>
  </si>
  <si>
    <t xml:space="preserve">Input State</t>
  </si>
  <si>
    <t xml:space="preserve">Source / Provenance</t>
  </si>
  <si>
    <t xml:space="preserve">Effective Date</t>
  </si>
  <si>
    <t xml:space="preserve">Owner</t>
  </si>
  <si>
    <t xml:space="preserve">Feeds Schedule</t>
  </si>
  <si>
    <t xml:space="preserve">Notes</t>
  </si>
  <si>
    <t xml:space="preserve">PRJ-001</t>
  </si>
  <si>
    <t xml:space="preserve">Project control</t>
  </si>
  <si>
    <t xml:space="preserve">Total development cost control</t>
  </si>
  <si>
    <t xml:space="preserve">USD</t>
  </si>
  <si>
    <t xml:space="preserve">Estimated historical planning base case</t>
  </si>
  <si>
    <t xml:space="preserve">User-authorized historical planning briefing (pasted_content_21.txt, received 2026-08-21); effective date unknown; estimated historical planning context, not actuals or commitments.</t>
  </si>
  <si>
    <t xml:space="preserve">jchappell2120</t>
  </si>
  <si>
    <t xml:space="preserve">Summary / WBS / Sources &amp; Uses</t>
  </si>
  <si>
    <t xml:space="preserve">Authorized $40M reverse-engineering control case, carried to the working base-case control.</t>
  </si>
  <si>
    <t xml:space="preserve">PRJ-002</t>
  </si>
  <si>
    <t xml:space="preserve">Project program</t>
  </si>
  <si>
    <t xml:space="preserve">Total unit count</t>
  </si>
  <si>
    <t xml:space="preserve">units</t>
  </si>
  <si>
    <t xml:space="preserve">Rent Roll / Summary</t>
  </si>
  <si>
    <t xml:space="preserve">Working program control; unit mix by bedroom type remains an editable planning input.</t>
  </si>
  <si>
    <t xml:space="preserve">PRJ-003</t>
  </si>
  <si>
    <t xml:space="preserve">Building count</t>
  </si>
  <si>
    <t xml:space="preserve">buildings</t>
  </si>
  <si>
    <t xml:space="preserve">Summary</t>
  </si>
  <si>
    <t xml:space="preserve">Five-building program reference carried to the working base case.</t>
  </si>
  <si>
    <t xml:space="preserve">PRJ-004</t>
  </si>
  <si>
    <t xml:space="preserve">Average SF per unit</t>
  </si>
  <si>
    <t xml:space="preserve">SF / unit</t>
  </si>
  <si>
    <t xml:space="preserve">Derived historical planning quantity</t>
  </si>
  <si>
    <t xml:space="preserve">Derived from 250,000 gross SF / 280 units; planning reference carried to base.</t>
  </si>
  <si>
    <t xml:space="preserve">PRJ-005</t>
  </si>
  <si>
    <t xml:space="preserve">Cost basis</t>
  </si>
  <si>
    <t xml:space="preserve">Low construction cost basis</t>
  </si>
  <si>
    <t xml:space="preserve">USD / SF</t>
  </si>
  <si>
    <t xml:space="preserve">Cost Basis Sensitivity</t>
  </si>
  <si>
    <t xml:space="preserve">Supplied historical sensitivity.</t>
  </si>
  <si>
    <t xml:space="preserve">PRJ-006</t>
  </si>
  <si>
    <t xml:space="preserve">Central construction cost basis</t>
  </si>
  <si>
    <t xml:space="preserve">PRJ-007</t>
  </si>
  <si>
    <t xml:space="preserve">High construction cost basis</t>
  </si>
  <si>
    <t xml:space="preserve">PRJ-008</t>
  </si>
  <si>
    <t xml:space="preserve">Central implied gross SF</t>
  </si>
  <si>
    <t xml:space="preserve">SF</t>
  </si>
  <si>
    <t xml:space="preserve">$40M / $160 per SF; not a confirmed measurement.</t>
  </si>
  <si>
    <t xml:space="preserve">PRJ-009</t>
  </si>
  <si>
    <t xml:space="preserve">Operations reference</t>
  </si>
  <si>
    <t xml:space="preserve">USD / year</t>
  </si>
  <si>
    <t xml:space="preserve">Summary / Returns</t>
  </si>
  <si>
    <t xml:space="preserve">Reference comparison only; never used to back-solve rents.</t>
  </si>
  <si>
    <t xml:space="preserve">PRJ-010</t>
  </si>
  <si>
    <t xml:space="preserve">%</t>
  </si>
  <si>
    <t xml:space="preserve">Derived historical planning metric</t>
  </si>
  <si>
    <t xml:space="preserve">$4.75M / $40M; reference metric only.</t>
  </si>
  <si>
    <t xml:space="preserve">FIN-001</t>
  </si>
  <si>
    <t xml:space="preserve">Historical financing reference</t>
  </si>
  <si>
    <t xml:space="preserve">Historical planning reference</t>
  </si>
  <si>
    <t xml:space="preserve">Sources &amp; Uses</t>
  </si>
  <si>
    <t xml:space="preserve">Reference only; not funded capital and not applied to the active base case unless copied to a debt input.</t>
  </si>
  <si>
    <t xml:space="preserve">UNIT MIX AND MARKET RENT SKU INPUTS</t>
  </si>
  <si>
    <t xml:space="preserve">REV-STUDIO-01</t>
  </si>
  <si>
    <t xml:space="preserve">Unit mix</t>
  </si>
  <si>
    <t xml:space="preserve">Studio unit count</t>
  </si>
  <si>
    <t xml:space="preserve">Projected — enter</t>
  </si>
  <si>
    <t xml:space="preserve">Model input required</t>
  </si>
  <si>
    <t xml:space="preserve">Enter the planned unit count; all unit-type counts must reconcile to PRJ-002.</t>
  </si>
  <si>
    <t xml:space="preserve">REV-STUDIO-02</t>
  </si>
  <si>
    <t xml:space="preserve">Studio average square feet</t>
  </si>
  <si>
    <t xml:space="preserve">Enter planned average unit size.</t>
  </si>
  <si>
    <t xml:space="preserve">REV-STUDIO-03</t>
  </si>
  <si>
    <t xml:space="preserve">Market rent</t>
  </si>
  <si>
    <t xml:space="preserve">Studio monthly market rent</t>
  </si>
  <si>
    <t xml:space="preserve">USD / unit / month</t>
  </si>
  <si>
    <t xml:space="preserve">Rent Roll / Revenue</t>
  </si>
  <si>
    <t xml:space="preserve">Enter a source-labeled market rent. Do not enter a placeholder as a verified rent.</t>
  </si>
  <si>
    <t xml:space="preserve">REV-STUDIO-04</t>
  </si>
  <si>
    <t xml:space="preserve">Lease-up</t>
  </si>
  <si>
    <t xml:space="preserve">Studio stabilized occupancy</t>
  </si>
  <si>
    <t xml:space="preserve">Rent Roll / Monthly Schedule</t>
  </si>
  <si>
    <t xml:space="preserve">Enter stabilized economic occupancy for this unit type.</t>
  </si>
  <si>
    <t xml:space="preserve">REV-ONEBR-01</t>
  </si>
  <si>
    <t xml:space="preserve">One bedroom unit count</t>
  </si>
  <si>
    <t xml:space="preserve">REV-ONEBR-02</t>
  </si>
  <si>
    <t xml:space="preserve">One bedroom average square feet</t>
  </si>
  <si>
    <t xml:space="preserve">REV-ONEBR-03</t>
  </si>
  <si>
    <t xml:space="preserve">One bedroom monthly market rent</t>
  </si>
  <si>
    <t xml:space="preserve">REV-ONEBR-04</t>
  </si>
  <si>
    <t xml:space="preserve">One bedroom stabilized occupancy</t>
  </si>
  <si>
    <t xml:space="preserve">REV-TWOBR-01</t>
  </si>
  <si>
    <t xml:space="preserve">Two bedroom unit count</t>
  </si>
  <si>
    <t xml:space="preserve">REV-TWOBR-02</t>
  </si>
  <si>
    <t xml:space="preserve">Two bedroom average square feet</t>
  </si>
  <si>
    <t xml:space="preserve">REV-TWOBR-03</t>
  </si>
  <si>
    <t xml:space="preserve">Two bedroom monthly market rent</t>
  </si>
  <si>
    <t xml:space="preserve">REV-TWOBR-04</t>
  </si>
  <si>
    <t xml:space="preserve">Two bedroom stabilized occupancy</t>
  </si>
  <si>
    <t xml:space="preserve">REV-THREEBR-01</t>
  </si>
  <si>
    <t xml:space="preserve">Three bedroom unit count</t>
  </si>
  <si>
    <t xml:space="preserve">REV-THREEBR-02</t>
  </si>
  <si>
    <t xml:space="preserve">Three bedroom average square feet</t>
  </si>
  <si>
    <t xml:space="preserve">REV-THREEBR-03</t>
  </si>
  <si>
    <t xml:space="preserve">Three bedroom monthly market rent</t>
  </si>
  <si>
    <t xml:space="preserve">REV-THREEBR-04</t>
  </si>
  <si>
    <t xml:space="preserve">Three bedroom stabilized occupancy</t>
  </si>
  <si>
    <t xml:space="preserve">REV-021</t>
  </si>
  <si>
    <t xml:space="preserve">Other income</t>
  </si>
  <si>
    <t xml:space="preserve">Other income per occupied unit per month</t>
  </si>
  <si>
    <t xml:space="preserve">Revenue</t>
  </si>
  <si>
    <t xml:space="preserve">Parking, pet, utility, amenity, or other recurring revenue; specify basis in source note.</t>
  </si>
  <si>
    <t xml:space="preserve">REV-022</t>
  </si>
  <si>
    <t xml:space="preserve">Revenue leakage</t>
  </si>
  <si>
    <t xml:space="preserve">Concessions and bad debt</t>
  </si>
  <si>
    <t xml:space="preserve">% of GPR</t>
  </si>
  <si>
    <t xml:space="preserve">Enter combined or separately sourced revenue leakage.</t>
  </si>
  <si>
    <t xml:space="preserve">REV-023</t>
  </si>
  <si>
    <t xml:space="preserve">Revenue timing</t>
  </si>
  <si>
    <t xml:space="preserve">Collections lag</t>
  </si>
  <si>
    <t xml:space="preserve">months</t>
  </si>
  <si>
    <t xml:space="preserve">Enter collections timing assumption.</t>
  </si>
  <si>
    <t xml:space="preserve">OPERATING EXPENSE SKU INPUTS</t>
  </si>
  <si>
    <t xml:space="preserve">OPX-001</t>
  </si>
  <si>
    <t xml:space="preserve">Operating expense</t>
  </si>
  <si>
    <t xml:space="preserve">Real estate taxes</t>
  </si>
  <si>
    <t xml:space="preserve">Enter annual stabilized amount with source and expense basis.</t>
  </si>
  <si>
    <t xml:space="preserve">OPX-002</t>
  </si>
  <si>
    <t xml:space="preserve">Property insurance</t>
  </si>
  <si>
    <t xml:space="preserve">OPX-003</t>
  </si>
  <si>
    <t xml:space="preserve">Property management</t>
  </si>
  <si>
    <t xml:space="preserve">OPX-004</t>
  </si>
  <si>
    <t xml:space="preserve">Payroll and benefits</t>
  </si>
  <si>
    <t xml:space="preserve">OPX-005</t>
  </si>
  <si>
    <t xml:space="preserve">Repairs and maintenance</t>
  </si>
  <si>
    <t xml:space="preserve">OPX-006</t>
  </si>
  <si>
    <t xml:space="preserve">Utilities</t>
  </si>
  <si>
    <t xml:space="preserve">OPX-007</t>
  </si>
  <si>
    <t xml:space="preserve">Contract services</t>
  </si>
  <si>
    <t xml:space="preserve">OPX-008</t>
  </si>
  <si>
    <t xml:space="preserve">Marketing and leasing</t>
  </si>
  <si>
    <t xml:space="preserve">OPX-009</t>
  </si>
  <si>
    <t xml:space="preserve">General and administrative</t>
  </si>
  <si>
    <t xml:space="preserve">OPX-010</t>
  </si>
  <si>
    <t xml:space="preserve">Turnover</t>
  </si>
  <si>
    <t xml:space="preserve">OPX-011</t>
  </si>
  <si>
    <t xml:space="preserve">Replacement reserves</t>
  </si>
  <si>
    <t xml:space="preserve">OPX-012</t>
  </si>
  <si>
    <t xml:space="preserve">HOA / common-area expense</t>
  </si>
  <si>
    <t xml:space="preserve">OPX-013</t>
  </si>
  <si>
    <t xml:space="preserve">Asset management</t>
  </si>
  <si>
    <t xml:space="preserve">OPX-014</t>
  </si>
  <si>
    <t xml:space="preserve">Other operating expense</t>
  </si>
  <si>
    <t xml:space="preserve">CONSTRUCTION AND LEASE-UP TIMING SKU INPUTS</t>
  </si>
  <si>
    <t xml:space="preserve">SCH-01-01</t>
  </si>
  <si>
    <t xml:space="preserve">Construction timing</t>
  </si>
  <si>
    <t xml:space="preserve">Month 1 construction deployment</t>
  </si>
  <si>
    <t xml:space="preserve">% of development cost</t>
  </si>
  <si>
    <t xml:space="preserve">All 36 months should reconcile to 100.0% once timing is underwritten.</t>
  </si>
  <si>
    <t xml:space="preserve">SCH-01-02</t>
  </si>
  <si>
    <t xml:space="preserve">Lease-up timing</t>
  </si>
  <si>
    <t xml:space="preserve">Month 1 economic occupancy</t>
  </si>
  <si>
    <t xml:space="preserve">Enter a non-decreasing lease-up curve once timing is underwritten.</t>
  </si>
  <si>
    <t xml:space="preserve">SCH-02-01</t>
  </si>
  <si>
    <t xml:space="preserve">Month 2 construction deployment</t>
  </si>
  <si>
    <t xml:space="preserve">SCH-02-02</t>
  </si>
  <si>
    <t xml:space="preserve">Month 2 economic occupancy</t>
  </si>
  <si>
    <t xml:space="preserve">SCH-03-01</t>
  </si>
  <si>
    <t xml:space="preserve">Month 3 construction deployment</t>
  </si>
  <si>
    <t xml:space="preserve">SCH-03-02</t>
  </si>
  <si>
    <t xml:space="preserve">Month 3 economic occupancy</t>
  </si>
  <si>
    <t xml:space="preserve">SCH-04-01</t>
  </si>
  <si>
    <t xml:space="preserve">Month 4 construction deployment</t>
  </si>
  <si>
    <t xml:space="preserve">SCH-04-02</t>
  </si>
  <si>
    <t xml:space="preserve">Month 4 economic occupancy</t>
  </si>
  <si>
    <t xml:space="preserve">SCH-05-01</t>
  </si>
  <si>
    <t xml:space="preserve">Month 5 construction deployment</t>
  </si>
  <si>
    <t xml:space="preserve">SCH-05-02</t>
  </si>
  <si>
    <t xml:space="preserve">Month 5 economic occupancy</t>
  </si>
  <si>
    <t xml:space="preserve">SCH-06-01</t>
  </si>
  <si>
    <t xml:space="preserve">Month 6 construction deployment</t>
  </si>
  <si>
    <t xml:space="preserve">SCH-06-02</t>
  </si>
  <si>
    <t xml:space="preserve">Month 6 economic occupancy</t>
  </si>
  <si>
    <t xml:space="preserve">SCH-07-01</t>
  </si>
  <si>
    <t xml:space="preserve">Month 7 construction deployment</t>
  </si>
  <si>
    <t xml:space="preserve">SCH-07-02</t>
  </si>
  <si>
    <t xml:space="preserve">Month 7 economic occupancy</t>
  </si>
  <si>
    <t xml:space="preserve">SCH-08-01</t>
  </si>
  <si>
    <t xml:space="preserve">Month 8 construction deployment</t>
  </si>
  <si>
    <t xml:space="preserve">SCH-08-02</t>
  </si>
  <si>
    <t xml:space="preserve">Month 8 economic occupancy</t>
  </si>
  <si>
    <t xml:space="preserve">SCH-09-01</t>
  </si>
  <si>
    <t xml:space="preserve">Month 9 construction deployment</t>
  </si>
  <si>
    <t xml:space="preserve">SCH-09-02</t>
  </si>
  <si>
    <t xml:space="preserve">Month 9 economic occupancy</t>
  </si>
  <si>
    <t xml:space="preserve">SCH-10-01</t>
  </si>
  <si>
    <t xml:space="preserve">Month 10 construction deployment</t>
  </si>
  <si>
    <t xml:space="preserve">SCH-10-02</t>
  </si>
  <si>
    <t xml:space="preserve">Month 10 economic occupancy</t>
  </si>
  <si>
    <t xml:space="preserve">SCH-11-01</t>
  </si>
  <si>
    <t xml:space="preserve">Month 11 construction deployment</t>
  </si>
  <si>
    <t xml:space="preserve">SCH-11-02</t>
  </si>
  <si>
    <t xml:space="preserve">Month 11 economic occupancy</t>
  </si>
  <si>
    <t xml:space="preserve">SCH-12-01</t>
  </si>
  <si>
    <t xml:space="preserve">Month 12 construction deployment</t>
  </si>
  <si>
    <t xml:space="preserve">SCH-12-02</t>
  </si>
  <si>
    <t xml:space="preserve">Month 12 economic occupancy</t>
  </si>
  <si>
    <t xml:space="preserve">SCH-13-01</t>
  </si>
  <si>
    <t xml:space="preserve">Month 13 construction deployment</t>
  </si>
  <si>
    <t xml:space="preserve">SCH-13-02</t>
  </si>
  <si>
    <t xml:space="preserve">Month 13 economic occupancy</t>
  </si>
  <si>
    <t xml:space="preserve">SCH-14-01</t>
  </si>
  <si>
    <t xml:space="preserve">Month 14 construction deployment</t>
  </si>
  <si>
    <t xml:space="preserve">SCH-14-02</t>
  </si>
  <si>
    <t xml:space="preserve">Month 14 economic occupancy</t>
  </si>
  <si>
    <t xml:space="preserve">SCH-15-01</t>
  </si>
  <si>
    <t xml:space="preserve">Month 15 construction deployment</t>
  </si>
  <si>
    <t xml:space="preserve">SCH-15-02</t>
  </si>
  <si>
    <t xml:space="preserve">Month 15 economic occupancy</t>
  </si>
  <si>
    <t xml:space="preserve">SCH-16-01</t>
  </si>
  <si>
    <t xml:space="preserve">Month 16 construction deployment</t>
  </si>
  <si>
    <t xml:space="preserve">SCH-16-02</t>
  </si>
  <si>
    <t xml:space="preserve">Month 16 economic occupancy</t>
  </si>
  <si>
    <t xml:space="preserve">SCH-17-01</t>
  </si>
  <si>
    <t xml:space="preserve">Month 17 construction deployment</t>
  </si>
  <si>
    <t xml:space="preserve">SCH-17-02</t>
  </si>
  <si>
    <t xml:space="preserve">Month 17 economic occupancy</t>
  </si>
  <si>
    <t xml:space="preserve">SCH-18-01</t>
  </si>
  <si>
    <t xml:space="preserve">Month 18 construction deployment</t>
  </si>
  <si>
    <t xml:space="preserve">SCH-18-02</t>
  </si>
  <si>
    <t xml:space="preserve">Month 18 economic occupancy</t>
  </si>
  <si>
    <t xml:space="preserve">SCH-19-01</t>
  </si>
  <si>
    <t xml:space="preserve">Month 19 construction deployment</t>
  </si>
  <si>
    <t xml:space="preserve">SCH-19-02</t>
  </si>
  <si>
    <t xml:space="preserve">Month 19 economic occupancy</t>
  </si>
  <si>
    <t xml:space="preserve">SCH-20-01</t>
  </si>
  <si>
    <t xml:space="preserve">Month 20 construction deployment</t>
  </si>
  <si>
    <t xml:space="preserve">SCH-20-02</t>
  </si>
  <si>
    <t xml:space="preserve">Month 20 economic occupancy</t>
  </si>
  <si>
    <t xml:space="preserve">SCH-21-01</t>
  </si>
  <si>
    <t xml:space="preserve">Month 21 construction deployment</t>
  </si>
  <si>
    <t xml:space="preserve">SCH-21-02</t>
  </si>
  <si>
    <t xml:space="preserve">Month 21 economic occupancy</t>
  </si>
  <si>
    <t xml:space="preserve">SCH-22-01</t>
  </si>
  <si>
    <t xml:space="preserve">Month 22 construction deployment</t>
  </si>
  <si>
    <t xml:space="preserve">SCH-22-02</t>
  </si>
  <si>
    <t xml:space="preserve">Month 22 economic occupancy</t>
  </si>
  <si>
    <t xml:space="preserve">SCH-23-01</t>
  </si>
  <si>
    <t xml:space="preserve">Month 23 construction deployment</t>
  </si>
  <si>
    <t xml:space="preserve">SCH-23-02</t>
  </si>
  <si>
    <t xml:space="preserve">Month 23 economic occupancy</t>
  </si>
  <si>
    <t xml:space="preserve">SCH-24-01</t>
  </si>
  <si>
    <t xml:space="preserve">Month 24 construction deployment</t>
  </si>
  <si>
    <t xml:space="preserve">SCH-24-02</t>
  </si>
  <si>
    <t xml:space="preserve">Month 24 economic occupancy</t>
  </si>
  <si>
    <t xml:space="preserve">SCH-25-01</t>
  </si>
  <si>
    <t xml:space="preserve">Month 25 construction deployment</t>
  </si>
  <si>
    <t xml:space="preserve">SCH-25-02</t>
  </si>
  <si>
    <t xml:space="preserve">Month 25 economic occupancy</t>
  </si>
  <si>
    <t xml:space="preserve">SCH-26-01</t>
  </si>
  <si>
    <t xml:space="preserve">Month 26 construction deployment</t>
  </si>
  <si>
    <t xml:space="preserve">SCH-26-02</t>
  </si>
  <si>
    <t xml:space="preserve">Month 26 economic occupancy</t>
  </si>
  <si>
    <t xml:space="preserve">SCH-27-01</t>
  </si>
  <si>
    <t xml:space="preserve">Month 27 construction deployment</t>
  </si>
  <si>
    <t xml:space="preserve">SCH-27-02</t>
  </si>
  <si>
    <t xml:space="preserve">Month 27 economic occupancy</t>
  </si>
  <si>
    <t xml:space="preserve">SCH-28-01</t>
  </si>
  <si>
    <t xml:space="preserve">Month 28 construction deployment</t>
  </si>
  <si>
    <t xml:space="preserve">SCH-28-02</t>
  </si>
  <si>
    <t xml:space="preserve">Month 28 economic occupancy</t>
  </si>
  <si>
    <t xml:space="preserve">SCH-29-01</t>
  </si>
  <si>
    <t xml:space="preserve">Month 29 construction deployment</t>
  </si>
  <si>
    <t xml:space="preserve">SCH-29-02</t>
  </si>
  <si>
    <t xml:space="preserve">Month 29 economic occupancy</t>
  </si>
  <si>
    <t xml:space="preserve">SCH-30-01</t>
  </si>
  <si>
    <t xml:space="preserve">Month 30 construction deployment</t>
  </si>
  <si>
    <t xml:space="preserve">SCH-30-02</t>
  </si>
  <si>
    <t xml:space="preserve">Month 30 economic occupancy</t>
  </si>
  <si>
    <t xml:space="preserve">SCH-31-01</t>
  </si>
  <si>
    <t xml:space="preserve">Month 31 construction deployment</t>
  </si>
  <si>
    <t xml:space="preserve">SCH-31-02</t>
  </si>
  <si>
    <t xml:space="preserve">Month 31 economic occupancy</t>
  </si>
  <si>
    <t xml:space="preserve">SCH-32-01</t>
  </si>
  <si>
    <t xml:space="preserve">Month 32 construction deployment</t>
  </si>
  <si>
    <t xml:space="preserve">SCH-32-02</t>
  </si>
  <si>
    <t xml:space="preserve">Month 32 economic occupancy</t>
  </si>
  <si>
    <t xml:space="preserve">SCH-33-01</t>
  </si>
  <si>
    <t xml:space="preserve">Month 33 construction deployment</t>
  </si>
  <si>
    <t xml:space="preserve">SCH-33-02</t>
  </si>
  <si>
    <t xml:space="preserve">Month 33 economic occupancy</t>
  </si>
  <si>
    <t xml:space="preserve">SCH-34-01</t>
  </si>
  <si>
    <t xml:space="preserve">Month 34 construction deployment</t>
  </si>
  <si>
    <t xml:space="preserve">SCH-34-02</t>
  </si>
  <si>
    <t xml:space="preserve">Month 34 economic occupancy</t>
  </si>
  <si>
    <t xml:space="preserve">SCH-35-01</t>
  </si>
  <si>
    <t xml:space="preserve">Month 35 construction deployment</t>
  </si>
  <si>
    <t xml:space="preserve">SCH-35-02</t>
  </si>
  <si>
    <t xml:space="preserve">Month 35 economic occupancy</t>
  </si>
  <si>
    <t xml:space="preserve">SCH-36-01</t>
  </si>
  <si>
    <t xml:space="preserve">Month 36 construction deployment</t>
  </si>
  <si>
    <t xml:space="preserve">SCH-36-02</t>
  </si>
  <si>
    <t xml:space="preserve">Month 36 economic occupancy</t>
  </si>
  <si>
    <t xml:space="preserve">FINANCING, CAPITAL, EXIT, AND RETURN SKU INPUTS</t>
  </si>
  <si>
    <t xml:space="preserve">FIN-010</t>
  </si>
  <si>
    <t xml:space="preserve">Capital / financing / exit</t>
  </si>
  <si>
    <t xml:space="preserve">Senior debt loan amount</t>
  </si>
  <si>
    <t xml:space="preserve">Debt Schedule</t>
  </si>
  <si>
    <t xml:space="preserve">Authorized $55M financing reference carried to the working base case. It remains estimated, not funded capital; enter debt terms to activate debt service.</t>
  </si>
  <si>
    <t xml:space="preserve">FIN-011</t>
  </si>
  <si>
    <t xml:space="preserve">Annual interest rate</t>
  </si>
  <si>
    <t xml:space="preserve">Editable underwriting driver. Record value, source, date, owner, and data state when available.</t>
  </si>
  <si>
    <t xml:space="preserve">FIN-012</t>
  </si>
  <si>
    <t xml:space="preserve">Financing fee</t>
  </si>
  <si>
    <t xml:space="preserve">% of debt</t>
  </si>
  <si>
    <t xml:space="preserve">FIN-013</t>
  </si>
  <si>
    <t xml:space="preserve">Debt term</t>
  </si>
  <si>
    <t xml:space="preserve">FIN-014</t>
  </si>
  <si>
    <t xml:space="preserve">Amortization period</t>
  </si>
  <si>
    <t xml:space="preserve">FIN-015</t>
  </si>
  <si>
    <t xml:space="preserve">Interest-only period</t>
  </si>
  <si>
    <t xml:space="preserve">FIN-016</t>
  </si>
  <si>
    <t xml:space="preserve">Closing / first draw month</t>
  </si>
  <si>
    <t xml:space="preserve">month</t>
  </si>
  <si>
    <t xml:space="preserve">FIN-017</t>
  </si>
  <si>
    <t xml:space="preserve">Construction loan extension fee</t>
  </si>
  <si>
    <t xml:space="preserve">CAP-001</t>
  </si>
  <si>
    <t xml:space="preserve">Sponsor / JV equity contribution</t>
  </si>
  <si>
    <t xml:space="preserve">CAP-002</t>
  </si>
  <si>
    <t xml:space="preserve">Other capital sources</t>
  </si>
  <si>
    <t xml:space="preserve">EXIT-001</t>
  </si>
  <si>
    <t xml:space="preserve">Exit cap rate</t>
  </si>
  <si>
    <t xml:space="preserve">EXIT-002</t>
  </si>
  <si>
    <t xml:space="preserve">Exit sale month</t>
  </si>
  <si>
    <t xml:space="preserve">EXIT-003</t>
  </si>
  <si>
    <t xml:space="preserve">Selling costs</t>
  </si>
  <si>
    <t xml:space="preserve">% of gross sale price</t>
  </si>
  <si>
    <t xml:space="preserve">RET-001</t>
  </si>
  <si>
    <t xml:space="preserve">Minimum cash reserve</t>
  </si>
  <si>
    <t xml:space="preserve">Cedarwood Flats | 100-Line Development Budget</t>
  </si>
  <si>
    <t xml:space="preserve">100 reverse-engineered historical planning allocations that reconcile to the authorized $40M control. These are planning entries, not invoices, bids, or commitments.</t>
  </si>
  <si>
    <t xml:space="preserve">DEVELOPMENT BUDGET — 100 SKU-LIKE WBS ENTRIES</t>
  </si>
  <si>
    <t xml:space="preserve">Cost Category</t>
  </si>
  <si>
    <t xml:space="preserve">Phase</t>
  </si>
  <si>
    <t xml:space="preserve">Description</t>
  </si>
  <si>
    <t xml:space="preserve">Building Applicability</t>
  </si>
  <si>
    <t xml:space="preserve">Quantity</t>
  </si>
  <si>
    <t xml:space="preserve">Unit Cost</t>
  </si>
  <si>
    <t xml:space="preserve">Budget Amount</t>
  </si>
  <si>
    <t xml:space="preserve">% of Total</t>
  </si>
  <si>
    <t xml:space="preserve">Data State</t>
  </si>
  <si>
    <t xml:space="preserve">Source Classification</t>
  </si>
  <si>
    <t xml:space="preserve">WBS-001</t>
  </si>
  <si>
    <t xml:space="preserve">land_acquisition</t>
  </si>
  <si>
    <t xml:space="preserve">predevelopment</t>
  </si>
  <si>
    <t xml:space="preserve">Land acquisition consideration</t>
  </si>
  <si>
    <t xml:space="preserve">Project-wide</t>
  </si>
  <si>
    <t xml:space="preserve">planning_allowance</t>
  </si>
  <si>
    <t xml:space="preserve">Estimated</t>
  </si>
  <si>
    <t xml:space="preserve">Reverse-engineered historical planning allocation</t>
  </si>
  <si>
    <t xml:space="preserve">User-authorized historical planning briefing (pasted_content_21.txt, received 2026-08-21)</t>
  </si>
  <si>
    <t xml:space="preserve">Historical planning allocation; not an actual invoice, bid, commitment, or funded-capital record.</t>
  </si>
  <si>
    <t xml:space="preserve">WBS-002</t>
  </si>
  <si>
    <t xml:space="preserve">Acquisition due diligence</t>
  </si>
  <si>
    <t xml:space="preserve">WBS-003</t>
  </si>
  <si>
    <t xml:space="preserve">Title and escrow</t>
  </si>
  <si>
    <t xml:space="preserve">WBS-004</t>
  </si>
  <si>
    <t xml:space="preserve">Acquisition legal</t>
  </si>
  <si>
    <t xml:space="preserve">WBS-005</t>
  </si>
  <si>
    <t xml:space="preserve">Environmental review</t>
  </si>
  <si>
    <t xml:space="preserve">WBS-006</t>
  </si>
  <si>
    <t xml:space="preserve">Boundary and topographic survey</t>
  </si>
  <si>
    <t xml:space="preserve">WBS-007</t>
  </si>
  <si>
    <t xml:space="preserve">Geotechnical investigation</t>
  </si>
  <si>
    <t xml:space="preserve">WBS-008</t>
  </si>
  <si>
    <t xml:space="preserve">Acquisition brokerage</t>
  </si>
  <si>
    <t xml:space="preserve">WBS-009</t>
  </si>
  <si>
    <t xml:space="preserve">Demolition and clearing allowance</t>
  </si>
  <si>
    <t xml:space="preserve">WBS-010</t>
  </si>
  <si>
    <t xml:space="preserve">Land closing reserve</t>
  </si>
  <si>
    <t xml:space="preserve">WBS-011</t>
  </si>
  <si>
    <t xml:space="preserve">site_development</t>
  </si>
  <si>
    <t xml:space="preserve">construction</t>
  </si>
  <si>
    <t xml:space="preserve">Mass grading</t>
  </si>
  <si>
    <t xml:space="preserve">WBS-012</t>
  </si>
  <si>
    <t xml:space="preserve">Utility extension</t>
  </si>
  <si>
    <t xml:space="preserve">WBS-013</t>
  </si>
  <si>
    <t xml:space="preserve">Water and sewer improvements</t>
  </si>
  <si>
    <t xml:space="preserve">WBS-014</t>
  </si>
  <si>
    <t xml:space="preserve">Stormwater infrastructure</t>
  </si>
  <si>
    <t xml:space="preserve">WBS-015</t>
  </si>
  <si>
    <t xml:space="preserve">Paving, curbs, and sidewalks</t>
  </si>
  <si>
    <t xml:space="preserve">WBS-016</t>
  </si>
  <si>
    <t xml:space="preserve">Landscape and irrigation</t>
  </si>
  <si>
    <t xml:space="preserve">WBS-017</t>
  </si>
  <si>
    <t xml:space="preserve">Detention and retention</t>
  </si>
  <si>
    <t xml:space="preserve">WBS-018</t>
  </si>
  <si>
    <t xml:space="preserve">Earthwork and import/export</t>
  </si>
  <si>
    <t xml:space="preserve">WBS-019</t>
  </si>
  <si>
    <t xml:space="preserve">Temporary utilities</t>
  </si>
  <si>
    <t xml:space="preserve">WBS-020</t>
  </si>
  <si>
    <t xml:space="preserve">Site development reserve</t>
  </si>
  <si>
    <t xml:space="preserve">WBS-021</t>
  </si>
  <si>
    <t xml:space="preserve">building_modular</t>
  </si>
  <si>
    <t xml:space="preserve">LGS primary structure</t>
  </si>
  <si>
    <t xml:space="preserve">All five buildings</t>
  </si>
  <si>
    <t xml:space="preserve">WBS-022</t>
  </si>
  <si>
    <t xml:space="preserve">LGS secondary framing</t>
  </si>
  <si>
    <t xml:space="preserve">WBS-023</t>
  </si>
  <si>
    <t xml:space="preserve">Structural connectors and fasteners</t>
  </si>
  <si>
    <t xml:space="preserve">WBS-024</t>
  </si>
  <si>
    <t xml:space="preserve">Structural engineering coordination</t>
  </si>
  <si>
    <t xml:space="preserve">WBS-025</t>
  </si>
  <si>
    <t xml:space="preserve">Structural fabrication reserve</t>
  </si>
  <si>
    <t xml:space="preserve">WBS-026</t>
  </si>
  <si>
    <t xml:space="preserve">Exterior wall assemblies</t>
  </si>
  <si>
    <t xml:space="preserve">WBS-027</t>
  </si>
  <si>
    <t xml:space="preserve">Exterior cladding</t>
  </si>
  <si>
    <t xml:space="preserve">WBS-028</t>
  </si>
  <si>
    <t xml:space="preserve">Air and water barrier</t>
  </si>
  <si>
    <t xml:space="preserve">WBS-029</t>
  </si>
  <si>
    <t xml:space="preserve">Insulation systems</t>
  </si>
  <si>
    <t xml:space="preserve">WBS-030</t>
  </si>
  <si>
    <t xml:space="preserve">Exterior finish reserve</t>
  </si>
  <si>
    <t xml:space="preserve">WBS-031</t>
  </si>
  <si>
    <t xml:space="preserve">Plumbing rough-in</t>
  </si>
  <si>
    <t xml:space="preserve">WBS-032</t>
  </si>
  <si>
    <t xml:space="preserve">Electrical rough-in</t>
  </si>
  <si>
    <t xml:space="preserve">WBS-033</t>
  </si>
  <si>
    <t xml:space="preserve">HVAC equipment and distribution</t>
  </si>
  <si>
    <t xml:space="preserve">WBS-034</t>
  </si>
  <si>
    <t xml:space="preserve">Fire protection</t>
  </si>
  <si>
    <t xml:space="preserve">WBS-035</t>
  </si>
  <si>
    <t xml:space="preserve">Low-voltage and controls</t>
  </si>
  <si>
    <t xml:space="preserve">WBS-036</t>
  </si>
  <si>
    <t xml:space="preserve">Metering and service equipment</t>
  </si>
  <si>
    <t xml:space="preserve">WBS-037</t>
  </si>
  <si>
    <t xml:space="preserve">MEP design coordination</t>
  </si>
  <si>
    <t xml:space="preserve">WBS-038</t>
  </si>
  <si>
    <t xml:space="preserve">MEP integration reserve</t>
  </si>
  <si>
    <t xml:space="preserve">WBS-039</t>
  </si>
  <si>
    <t xml:space="preserve">Unit framing and partitions</t>
  </si>
  <si>
    <t xml:space="preserve">WBS-040</t>
  </si>
  <si>
    <t xml:space="preserve">Drywall and finish prep</t>
  </si>
  <si>
    <t xml:space="preserve">WBS-041</t>
  </si>
  <si>
    <t xml:space="preserve">Interior paint</t>
  </si>
  <si>
    <t xml:space="preserve">WBS-042</t>
  </si>
  <si>
    <t xml:space="preserve">Flooring</t>
  </si>
  <si>
    <t xml:space="preserve">WBS-043</t>
  </si>
  <si>
    <t xml:space="preserve">Cabinets and countertops</t>
  </si>
  <si>
    <t xml:space="preserve">WBS-044</t>
  </si>
  <si>
    <t xml:space="preserve">Millwork</t>
  </si>
  <si>
    <t xml:space="preserve">WBS-045</t>
  </si>
  <si>
    <t xml:space="preserve">Bathroom finishes</t>
  </si>
  <si>
    <t xml:space="preserve">WBS-046</t>
  </si>
  <si>
    <t xml:space="preserve">Interior doors and hardware</t>
  </si>
  <si>
    <t xml:space="preserve">WBS-047</t>
  </si>
  <si>
    <t xml:space="preserve">Roofing membrane</t>
  </si>
  <si>
    <t xml:space="preserve">WBS-048</t>
  </si>
  <si>
    <t xml:space="preserve">Roof insulation and accessories</t>
  </si>
  <si>
    <t xml:space="preserve">WBS-049</t>
  </si>
  <si>
    <t xml:space="preserve">Windows</t>
  </si>
  <si>
    <t xml:space="preserve">WBS-050</t>
  </si>
  <si>
    <t xml:space="preserve">Exterior doors and glazing</t>
  </si>
  <si>
    <t xml:space="preserve">WBS-051</t>
  </si>
  <si>
    <t xml:space="preserve">Appliances</t>
  </si>
  <si>
    <t xml:space="preserve">WBS-052</t>
  </si>
  <si>
    <t xml:space="preserve">Plumbing fixtures</t>
  </si>
  <si>
    <t xml:space="preserve">WBS-053</t>
  </si>
  <si>
    <t xml:space="preserve">Electrical fixtures</t>
  </si>
  <si>
    <t xml:space="preserve">WBS-054</t>
  </si>
  <si>
    <t xml:space="preserve">Common-area finishes</t>
  </si>
  <si>
    <t xml:space="preserve">WBS-055</t>
  </si>
  <si>
    <t xml:space="preserve">Amenity equipment</t>
  </si>
  <si>
    <t xml:space="preserve">WBS-056</t>
  </si>
  <si>
    <t xml:space="preserve">Common-area furnishings allowance</t>
  </si>
  <si>
    <t xml:space="preserve">WBS-057</t>
  </si>
  <si>
    <t xml:space="preserve">commissioning</t>
  </si>
  <si>
    <t xml:space="preserve">QA/QC inspection</t>
  </si>
  <si>
    <t xml:space="preserve">WBS-058</t>
  </si>
  <si>
    <t xml:space="preserve">Building commissioning</t>
  </si>
  <si>
    <t xml:space="preserve">WBS-059</t>
  </si>
  <si>
    <t xml:space="preserve">building_completion</t>
  </si>
  <si>
    <t xml:space="preserve">Punch and turnover</t>
  </si>
  <si>
    <t xml:space="preserve">WBS-060</t>
  </si>
  <si>
    <t xml:space="preserve">Building completion reserve</t>
  </si>
  <si>
    <t xml:space="preserve">WBS-061</t>
  </si>
  <si>
    <t xml:space="preserve">factory_logistics_installation</t>
  </si>
  <si>
    <t xml:space="preserve">factory_production</t>
  </si>
  <si>
    <t xml:space="preserve">Factory production setup</t>
  </si>
  <si>
    <t xml:space="preserve">WBS-062</t>
  </si>
  <si>
    <t xml:space="preserve">Panel and module assembly</t>
  </si>
  <si>
    <t xml:space="preserve">WBS-063</t>
  </si>
  <si>
    <t xml:space="preserve">Factory labor coordination</t>
  </si>
  <si>
    <t xml:space="preserve">WBS-064</t>
  </si>
  <si>
    <t xml:space="preserve">Factory QA hold points</t>
  </si>
  <si>
    <t xml:space="preserve">WBS-065</t>
  </si>
  <si>
    <t xml:space="preserve">Packaging and protection</t>
  </si>
  <si>
    <t xml:space="preserve">WBS-066</t>
  </si>
  <si>
    <t xml:space="preserve">logistics</t>
  </si>
  <si>
    <t xml:space="preserve">Staging and handling</t>
  </si>
  <si>
    <t xml:space="preserve">WBS-067</t>
  </si>
  <si>
    <t xml:space="preserve">transportation</t>
  </si>
  <si>
    <t xml:space="preserve">Transportation</t>
  </si>
  <si>
    <t xml:space="preserve">WBS-068</t>
  </si>
  <si>
    <t xml:space="preserve">Route and permit coordination</t>
  </si>
  <si>
    <t xml:space="preserve">WBS-069</t>
  </si>
  <si>
    <t xml:space="preserve">Transit insurance allowance</t>
  </si>
  <si>
    <t xml:space="preserve">WBS-070</t>
  </si>
  <si>
    <t xml:space="preserve">site_installation</t>
  </si>
  <si>
    <t xml:space="preserve">Site receiving</t>
  </si>
  <si>
    <t xml:space="preserve">WBS-071</t>
  </si>
  <si>
    <t xml:space="preserve">Crane and lifting</t>
  </si>
  <si>
    <t xml:space="preserve">WBS-072</t>
  </si>
  <si>
    <t xml:space="preserve">Set and alignment</t>
  </si>
  <si>
    <t xml:space="preserve">WBS-073</t>
  </si>
  <si>
    <t xml:space="preserve">Installation coordination</t>
  </si>
  <si>
    <t xml:space="preserve">WBS-074</t>
  </si>
  <si>
    <t xml:space="preserve">Temporary weather protection</t>
  </si>
  <si>
    <t xml:space="preserve">WBS-075</t>
  </si>
  <si>
    <t xml:space="preserve">Logistics reserve</t>
  </si>
  <si>
    <t xml:space="preserve">WBS-076</t>
  </si>
  <si>
    <t xml:space="preserve">professional_soft_costs</t>
  </si>
  <si>
    <t xml:space="preserve">design_entitlement</t>
  </si>
  <si>
    <t xml:space="preserve">Architecture</t>
  </si>
  <si>
    <t xml:space="preserve">WBS-077</t>
  </si>
  <si>
    <t xml:space="preserve">Structural engineering</t>
  </si>
  <si>
    <t xml:space="preserve">WBS-078</t>
  </si>
  <si>
    <t xml:space="preserve">MEP engineering</t>
  </si>
  <si>
    <t xml:space="preserve">WBS-079</t>
  </si>
  <si>
    <t xml:space="preserve">Civil engineering</t>
  </si>
  <si>
    <t xml:space="preserve">WBS-080</t>
  </si>
  <si>
    <t xml:space="preserve">Permitting and entitlement</t>
  </si>
  <si>
    <t xml:space="preserve">WBS-081</t>
  </si>
  <si>
    <t xml:space="preserve">Project management</t>
  </si>
  <si>
    <t xml:space="preserve">WBS-082</t>
  </si>
  <si>
    <t xml:space="preserve">Legal</t>
  </si>
  <si>
    <t xml:space="preserve">WBS-083</t>
  </si>
  <si>
    <t xml:space="preserve">Accounting and tax</t>
  </si>
  <si>
    <t xml:space="preserve">WBS-084</t>
  </si>
  <si>
    <t xml:space="preserve">Builder's risk insurance</t>
  </si>
  <si>
    <t xml:space="preserve">WBS-085</t>
  </si>
  <si>
    <t xml:space="preserve">lease_up_stabilization</t>
  </si>
  <si>
    <t xml:space="preserve">Marketing</t>
  </si>
  <si>
    <t xml:space="preserve">WBS-086</t>
  </si>
  <si>
    <t xml:space="preserve">Leasing</t>
  </si>
  <si>
    <t xml:space="preserve">WBS-087</t>
  </si>
  <si>
    <t xml:space="preserve">Leasing commissions</t>
  </si>
  <si>
    <t xml:space="preserve">WBS-088</t>
  </si>
  <si>
    <t xml:space="preserve">Owner administration reserve</t>
  </si>
  <si>
    <t xml:space="preserve">WBS-089</t>
  </si>
  <si>
    <t xml:space="preserve">financing_carry</t>
  </si>
  <si>
    <t xml:space="preserve">Loan origination</t>
  </si>
  <si>
    <t xml:space="preserve">WBS-090</t>
  </si>
  <si>
    <t xml:space="preserve">Interest carry</t>
  </si>
  <si>
    <t xml:space="preserve">WBS-091</t>
  </si>
  <si>
    <t xml:space="preserve">Lender legal and diligence</t>
  </si>
  <si>
    <t xml:space="preserve">WBS-092</t>
  </si>
  <si>
    <t xml:space="preserve">Loan administration</t>
  </si>
  <si>
    <t xml:space="preserve">WBS-093</t>
  </si>
  <si>
    <t xml:space="preserve">Interest reserve</t>
  </si>
  <si>
    <t xml:space="preserve">WBS-094</t>
  </si>
  <si>
    <t xml:space="preserve">Extension reserve</t>
  </si>
  <si>
    <t xml:space="preserve">WBS-095</t>
  </si>
  <si>
    <t xml:space="preserve">contingency</t>
  </si>
  <si>
    <t xml:space="preserve">Construction contingency</t>
  </si>
  <si>
    <t xml:space="preserve">WBS-096</t>
  </si>
  <si>
    <t xml:space="preserve">Site contingency</t>
  </si>
  <si>
    <t xml:space="preserve">WBS-097</t>
  </si>
  <si>
    <t xml:space="preserve">Materials contingency</t>
  </si>
  <si>
    <t xml:space="preserve">WBS-098</t>
  </si>
  <si>
    <t xml:space="preserve">Factory contingency</t>
  </si>
  <si>
    <t xml:space="preserve">WBS-099</t>
  </si>
  <si>
    <t xml:space="preserve">Schedule contingency</t>
  </si>
  <si>
    <t xml:space="preserve">WBS-100</t>
  </si>
  <si>
    <t xml:space="preserve">Closeout contingency</t>
  </si>
  <si>
    <t xml:space="preserve">CHECK-001</t>
  </si>
  <si>
    <t xml:space="preserve">Total Development Budget</t>
  </si>
  <si>
    <t xml:space="preserve">Reconciliation to $40M control</t>
  </si>
  <si>
    <t xml:space="preserve">Must equal $0.0 before the planning budget is used as the development-cost control.</t>
  </si>
  <si>
    <t xml:space="preserve">Cedarwood Flats | Rent Roll &amp; Revenue Drivers</t>
  </si>
  <si>
    <t xml:space="preserve">All market rent, unit mix, and occupancy inputs are editable scenario drivers. The workbook does not back-solve rents from the NOI reference.</t>
  </si>
  <si>
    <t xml:space="preserve">BASE-CASE UNIT MIX AND MARKET RENT DRIVERS</t>
  </si>
  <si>
    <t xml:space="preserve">Unit Type</t>
  </si>
  <si>
    <t xml:space="preserve">Count SKU</t>
  </si>
  <si>
    <t xml:space="preserve">Count</t>
  </si>
  <si>
    <t xml:space="preserve">Average SF SKU</t>
  </si>
  <si>
    <t xml:space="preserve">Average SF</t>
  </si>
  <si>
    <t xml:space="preserve">Rent SKU</t>
  </si>
  <si>
    <t xml:space="preserve">Monthly Rent</t>
  </si>
  <si>
    <t xml:space="preserve">Occupancy SKU</t>
  </si>
  <si>
    <t xml:space="preserve">Occupancy</t>
  </si>
  <si>
    <t xml:space="preserve">Monthly GPR</t>
  </si>
  <si>
    <t xml:space="preserve">Monthly EGI</t>
  </si>
  <si>
    <t xml:space="preserve">Studio</t>
  </si>
  <si>
    <t xml:space="preserve">Enter sourced market rent, planned count, average SF, and stabilized occupancy.</t>
  </si>
  <si>
    <t xml:space="preserve">One bedroom</t>
  </si>
  <si>
    <t xml:space="preserve">Two bedroom</t>
  </si>
  <si>
    <t xml:space="preserve">Three bedroom</t>
  </si>
  <si>
    <t xml:space="preserve">Total / weighted output</t>
  </si>
  <si>
    <t xml:space="preserve">Unit-count check</t>
  </si>
  <si>
    <t xml:space="preserve">Must equal zero before the working unit mix is treated as reconciling to the historical program reference.</t>
  </si>
  <si>
    <t xml:space="preserve">Cedarwood Flats | Operating Statement</t>
  </si>
  <si>
    <t xml:space="preserve">Base-case operating build. All operating inputs are scenario drivers, and blank drivers remain blank rather than being treated as zero.</t>
  </si>
  <si>
    <t xml:space="preserve">STABILIZED ANNUAL OPERATING STATEMENT</t>
  </si>
  <si>
    <t xml:space="preserve">SKU / Line</t>
  </si>
  <si>
    <t xml:space="preserve">Annual Amount</t>
  </si>
  <si>
    <t xml:space="preserve">Driver Link / Formula</t>
  </si>
  <si>
    <t xml:space="preserve">State</t>
  </si>
  <si>
    <t xml:space="preserve">REV-100</t>
  </si>
  <si>
    <t xml:space="preserve">Gross potential rent</t>
  </si>
  <si>
    <t xml:space="preserve">Rent Roll monthly GPR × 12</t>
  </si>
  <si>
    <t xml:space="preserve">Unavailable until unit mix and market rents are entered.</t>
  </si>
  <si>
    <t xml:space="preserve">REV-101</t>
  </si>
  <si>
    <t xml:space="preserve">Occupied units × other income per occupied unit × 12</t>
  </si>
  <si>
    <t xml:space="preserve">REV-102</t>
  </si>
  <si>
    <t xml:space="preserve">REV-103</t>
  </si>
  <si>
    <t xml:space="preserve">Effective gross income</t>
  </si>
  <si>
    <t xml:space="preserve">Input SKU OPX-001</t>
  </si>
  <si>
    <t xml:space="preserve">Projected input</t>
  </si>
  <si>
    <t xml:space="preserve">Input SKU OPX-002</t>
  </si>
  <si>
    <t xml:space="preserve">Input SKU OPX-003</t>
  </si>
  <si>
    <t xml:space="preserve">Input SKU OPX-004</t>
  </si>
  <si>
    <t xml:space="preserve">Input SKU OPX-005</t>
  </si>
  <si>
    <t xml:space="preserve">Input SKU OPX-006</t>
  </si>
  <si>
    <t xml:space="preserve">Input SKU OPX-007</t>
  </si>
  <si>
    <t xml:space="preserve">Input SKU OPX-008</t>
  </si>
  <si>
    <t xml:space="preserve">Input SKU OPX-009</t>
  </si>
  <si>
    <t xml:space="preserve">Input SKU OPX-010</t>
  </si>
  <si>
    <t xml:space="preserve">Input SKU OPX-011</t>
  </si>
  <si>
    <t xml:space="preserve">Input SKU OPX-012</t>
  </si>
  <si>
    <t xml:space="preserve">Input SKU OPX-013</t>
  </si>
  <si>
    <t xml:space="preserve">Input SKU OPX-014</t>
  </si>
  <si>
    <t xml:space="preserve">NOI-001</t>
  </si>
  <si>
    <t xml:space="preserve">Net operating income</t>
  </si>
  <si>
    <t xml:space="preserve">NOI-002</t>
  </si>
  <si>
    <t xml:space="preserve">Variance to historical NOI reference</t>
  </si>
  <si>
    <t xml:space="preserve">Reference comparison only. The historical NOI never forces the operating build.</t>
  </si>
  <si>
    <t xml:space="preserve">Cedarwood Flats | 36-Month Construction, Lease-Up &amp; Cash Flow</t>
  </si>
  <si>
    <t xml:space="preserve">Every month has explicit construction and occupancy SKU rows. Blank timing inputs remain blank and prevent modeled cash-flow output.</t>
  </si>
  <si>
    <t xml:space="preserve">BASE-CASE MONTHLY SCHEDULE</t>
  </si>
  <si>
    <t xml:space="preserve">Month</t>
  </si>
  <si>
    <t xml:space="preserve">Construction SKU</t>
  </si>
  <si>
    <t xml:space="preserve">Construction %</t>
  </si>
  <si>
    <t xml:space="preserve">Construction Spend</t>
  </si>
  <si>
    <t xml:space="preserve">Potential Rent</t>
  </si>
  <si>
    <t xml:space="preserve">EGI</t>
  </si>
  <si>
    <t xml:space="preserve">Operating Expenses</t>
  </si>
  <si>
    <t xml:space="preserve">NOI</t>
  </si>
  <si>
    <t xml:space="preserve">Debt Service</t>
  </si>
  <si>
    <t xml:space="preserve">Levered Cash Flow</t>
  </si>
  <si>
    <t xml:space="preserve">Enter lifecycle phase</t>
  </si>
  <si>
    <t xml:space="preserve">Debt service links once financing terms are entered.</t>
  </si>
  <si>
    <t xml:space="preserve">CHECK</t>
  </si>
  <si>
    <t xml:space="preserve">36-month totals</t>
  </si>
  <si>
    <t xml:space="preserve">Construction allocation check</t>
  </si>
  <si>
    <t xml:space="preserve">Must equal 100.0% after monthly construction timing is entered.</t>
  </si>
  <si>
    <t xml:space="preserve">Cedarwood Flats | Sources &amp; Uses</t>
  </si>
  <si>
    <t xml:space="preserve">The $55M financing figure is retained as a historical planning reference. Active sources use only editable base-case debt and equity SKUs.</t>
  </si>
  <si>
    <t xml:space="preserve">USES</t>
  </si>
  <si>
    <t xml:space="preserve">Use</t>
  </si>
  <si>
    <t xml:space="preserve">Amount</t>
  </si>
  <si>
    <t xml:space="preserve">USE-001</t>
  </si>
  <si>
    <t xml:space="preserve">Total development budget</t>
  </si>
  <si>
    <t xml:space="preserve">WBS Budget total</t>
  </si>
  <si>
    <t xml:space="preserve">Historical planning control</t>
  </si>
  <si>
    <t xml:space="preserve">SOURCES</t>
  </si>
  <si>
    <t xml:space="preserve">Source</t>
  </si>
  <si>
    <t xml:space="preserve">Senior debt</t>
  </si>
  <si>
    <t xml:space="preserve">Base-case input SKU FIN-010</t>
  </si>
  <si>
    <t xml:space="preserve">Sponsor / JV equity</t>
  </si>
  <si>
    <t xml:space="preserve">Base-case input SKU CAP-001</t>
  </si>
  <si>
    <t xml:space="preserve">Base-case input SKU CAP-002</t>
  </si>
  <si>
    <t xml:space="preserve">Total sources</t>
  </si>
  <si>
    <t xml:space="preserve">Sources / uses gap</t>
  </si>
  <si>
    <t xml:space="preserve">Historical financing reference — not applied</t>
  </si>
  <si>
    <t xml:space="preserve">Not funded capital. Copy or modify this reference into FIN-010 only when selecting an active debt case.</t>
  </si>
  <si>
    <t xml:space="preserve">Cedarwood Flats | Debt Schedule</t>
  </si>
  <si>
    <t xml:space="preserve">Debt service activates only after base-case financing SKU inputs are entered. Historical financing reference remains separate.</t>
  </si>
  <si>
    <t xml:space="preserve">BASE-CASE DEBT TERMS</t>
  </si>
  <si>
    <t xml:space="preserve">Term</t>
  </si>
  <si>
    <t xml:space="preserve">Loan amount</t>
  </si>
  <si>
    <t xml:space="preserve">Base-case SKU FIN-010</t>
  </si>
  <si>
    <t xml:space="preserve">Base-case SKU FIN-011</t>
  </si>
  <si>
    <t xml:space="preserve">Base-case SKU FIN-012</t>
  </si>
  <si>
    <t xml:space="preserve">Base-case SKU FIN-013</t>
  </si>
  <si>
    <t xml:space="preserve">Amortization</t>
  </si>
  <si>
    <t xml:space="preserve">Base-case SKU FIN-014</t>
  </si>
  <si>
    <t xml:space="preserve">Base-case SKU FIN-015</t>
  </si>
  <si>
    <t xml:space="preserve">Base-case SKU FIN-016</t>
  </si>
  <si>
    <t xml:space="preserve">Extension fee</t>
  </si>
  <si>
    <t xml:space="preserve">Base-case SKU FIN-017</t>
  </si>
  <si>
    <t xml:space="preserve">MONTHLY DEBT SERVICE</t>
  </si>
  <si>
    <t xml:space="preserve">Opening Balance</t>
  </si>
  <si>
    <t xml:space="preserve">Draw</t>
  </si>
  <si>
    <t xml:space="preserve">Interest</t>
  </si>
  <si>
    <t xml:space="preserve">Principal</t>
  </si>
  <si>
    <t xml:space="preserve">Closing Balance</t>
  </si>
  <si>
    <t xml:space="preserve">Formula remains blank until debt terms are entered.</t>
  </si>
  <si>
    <t xml:space="preserve">Cedarwood Flats | Levered Returns &amp; Scenario Comparison</t>
  </si>
  <si>
    <t xml:space="preserve">Returns are calculated from the linked 36-month schedule only after timing, operating, and debt input SKUs are completed.</t>
  </si>
  <si>
    <t xml:space="preserve">BASE-CASE LEVERED CASH FLOW</t>
  </si>
  <si>
    <t xml:space="preserve">Cumulative Cash Flow</t>
  </si>
  <si>
    <t xml:space="preserve">No return is produced until all linked inputs are completed.</t>
  </si>
  <si>
    <t xml:space="preserve">RETURN SUMMARY</t>
  </si>
  <si>
    <t xml:space="preserve">Formula / Definition</t>
  </si>
  <si>
    <t xml:space="preserve">Total levered cash flow</t>
  </si>
  <si>
    <t xml:space="preserve">36-month sum</t>
  </si>
  <si>
    <t xml:space="preserve">Calculated only when 36 complete monthly cash-flow values exist.</t>
  </si>
  <si>
    <t xml:space="preserve">Monthly IRR</t>
  </si>
  <si>
    <t xml:space="preserve">IRR of monthly levered cash flow</t>
  </si>
  <si>
    <t xml:space="preserve">Annualized IRR</t>
  </si>
  <si>
    <t xml:space="preserve">(1 + monthly IRR)^12 − 1</t>
  </si>
  <si>
    <t xml:space="preserve">Equity multiple</t>
  </si>
  <si>
    <t xml:space="preserve">Positive distributions ÷ negative equity cash flows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</si>
</sst>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;&quot;($&quot;#,##0.0\);\-"/>
    <numFmt numFmtId="166" formatCode="#,##0;\(#,##0\);\-"/>
    <numFmt numFmtId="167" formatCode="0.0%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35B44"/>
        <bgColor rgb="FF333333"/>
      </patternFill>
    </fill>
    <fill>
      <patternFill patternType="solid">
        <fgColor rgb="FFCFE9E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6A6A6"/>
      </bottom>
      <diagonal/>
    </border>
    <border diagonalUp="false" diagonalDown="false">
      <left/>
      <right/>
      <top style="medium">
        <color rgb="FF135B44"/>
      </top>
      <bottom style="double">
        <color rgb="FF135B44"/>
      </bottom>
      <diagonal/>
    </border>
    <border diagonalUp="false" diagonalDown="false">
      <left/>
      <right/>
      <top style="thin">
        <color rgb="FFA6A6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FE9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135B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N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7" min="3" style="0" width="40"/>
    <col collapsed="false" customWidth="true" hidden="false" outlineLevel="0" max="14" min="8" style="0" width="10"/>
  </cols>
  <sheetData>
    <row r="3" customFormat="false" ht="19.7" hidden="false" customHeight="false" outlineLevel="0" collapsed="false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1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6.4" hidden="false" customHeight="false" outlineLevel="0" collapsed="false"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</row>
    <row r="10" customFormat="false" ht="15" hidden="false" customHeight="false" outlineLevel="0" collapsed="false">
      <c r="C10" s="0" t="s">
        <v>9</v>
      </c>
      <c r="D10" s="6" t="n">
        <f aca="false">'Inputs - SKU Register'!G10</f>
        <v>40000000</v>
      </c>
      <c r="E10" s="7" t="s">
        <v>10</v>
      </c>
      <c r="F10" s="7" t="s">
        <v>11</v>
      </c>
      <c r="G10" s="7" t="s">
        <v>12</v>
      </c>
    </row>
    <row r="11" customFormat="false" ht="15" hidden="false" customHeight="false" outlineLevel="0" collapsed="false">
      <c r="C11" s="0" t="s">
        <v>13</v>
      </c>
      <c r="D11" s="6" t="n">
        <f aca="false">'WBS Budget'!K110</f>
        <v>40000000</v>
      </c>
      <c r="E11" s="7" t="s">
        <v>14</v>
      </c>
      <c r="F11" s="7" t="s">
        <v>15</v>
      </c>
      <c r="G11" s="7" t="s">
        <v>16</v>
      </c>
    </row>
    <row r="12" customFormat="false" ht="15" hidden="false" customHeight="false" outlineLevel="0" collapsed="false">
      <c r="C12" s="0" t="s">
        <v>17</v>
      </c>
      <c r="D12" s="6" t="n">
        <f aca="false">'WBS Budget'!K111</f>
        <v>0</v>
      </c>
      <c r="E12" s="7" t="s">
        <v>18</v>
      </c>
      <c r="F12" s="7" t="s">
        <v>15</v>
      </c>
      <c r="G12" s="7" t="s">
        <v>19</v>
      </c>
    </row>
    <row r="13" customFormat="false" ht="15" hidden="false" customHeight="false" outlineLevel="0" collapsed="false">
      <c r="C13" s="0" t="s">
        <v>20</v>
      </c>
      <c r="D13" s="8" t="n">
        <f aca="false">'Inputs - SKU Register'!G11</f>
        <v>280</v>
      </c>
      <c r="E13" s="7" t="s">
        <v>10</v>
      </c>
      <c r="F13" s="7" t="s">
        <v>11</v>
      </c>
      <c r="G13" s="7" t="s">
        <v>21</v>
      </c>
    </row>
    <row r="14" customFormat="false" ht="15" hidden="false" customHeight="false" outlineLevel="0" collapsed="false">
      <c r="C14" s="0" t="s">
        <v>22</v>
      </c>
      <c r="D14" s="8" t="n">
        <f aca="false">'Inputs - SKU Register'!G12</f>
        <v>5</v>
      </c>
      <c r="E14" s="7" t="s">
        <v>10</v>
      </c>
      <c r="F14" s="7" t="s">
        <v>11</v>
      </c>
      <c r="G14" s="7" t="s">
        <v>21</v>
      </c>
    </row>
    <row r="15" customFormat="false" ht="15" hidden="false" customHeight="false" outlineLevel="0" collapsed="false">
      <c r="C15" s="0" t="s">
        <v>23</v>
      </c>
      <c r="D15" s="6" t="n">
        <f aca="false">'Inputs - SKU Register'!G18</f>
        <v>4750000</v>
      </c>
      <c r="E15" s="7" t="s">
        <v>10</v>
      </c>
      <c r="F15" s="7" t="s">
        <v>11</v>
      </c>
      <c r="G15" s="7" t="s">
        <v>24</v>
      </c>
    </row>
    <row r="16" customFormat="false" ht="15" hidden="false" customHeight="false" outlineLevel="0" collapsed="false">
      <c r="C16" s="0" t="s">
        <v>25</v>
      </c>
      <c r="D16" s="9" t="n">
        <f aca="false">'Inputs - SKU Register'!G19</f>
        <v>0.11875</v>
      </c>
      <c r="E16" s="7" t="s">
        <v>26</v>
      </c>
      <c r="F16" s="7" t="s">
        <v>27</v>
      </c>
      <c r="G16" s="7" t="s">
        <v>28</v>
      </c>
    </row>
    <row r="17" customFormat="false" ht="15" hidden="false" customHeight="false" outlineLevel="0" collapsed="false">
      <c r="C17" s="0" t="s">
        <v>29</v>
      </c>
      <c r="D17" s="6" t="n">
        <f aca="false">'Inputs - SKU Register'!G20</f>
        <v>55000000</v>
      </c>
      <c r="E17" s="7" t="s">
        <v>10</v>
      </c>
      <c r="F17" s="7" t="s">
        <v>11</v>
      </c>
      <c r="G17" s="7" t="s">
        <v>30</v>
      </c>
    </row>
    <row r="19" customFormat="false" ht="15" hidden="false" customHeight="false" outlineLevel="0" collapsed="false">
      <c r="C19" s="4" t="s">
        <v>31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6.4" hidden="false" customHeight="false" outlineLevel="0" collapsed="false">
      <c r="C20" s="5" t="s">
        <v>32</v>
      </c>
      <c r="D20" s="5" t="s">
        <v>33</v>
      </c>
      <c r="E20" s="5" t="s">
        <v>34</v>
      </c>
      <c r="F20" s="5" t="s">
        <v>35</v>
      </c>
    </row>
    <row r="21" customFormat="false" ht="15" hidden="false" customHeight="false" outlineLevel="0" collapsed="false">
      <c r="C21" s="0" t="s">
        <v>36</v>
      </c>
      <c r="D21" s="0" t="s">
        <v>37</v>
      </c>
      <c r="E21" s="10" t="str">
        <f aca="false">COUNT('Rent Roll'!E10:E13)&amp;" / 4 unit counts; "&amp;COUNT('Rent Roll'!I10:I13)&amp;" / 4 rents"</f>
        <v>0 / 4 unit counts; 0 / 4 rents</v>
      </c>
      <c r="F21" s="7" t="s">
        <v>38</v>
      </c>
    </row>
    <row r="22" customFormat="false" ht="15" hidden="false" customHeight="false" outlineLevel="0" collapsed="false">
      <c r="C22" s="0" t="s">
        <v>39</v>
      </c>
      <c r="D22" s="0" t="s">
        <v>40</v>
      </c>
      <c r="E22" s="10" t="str">
        <f aca="false">COUNT('Revenue &amp; Operations'!E17:E30)&amp;" / 14 items"</f>
        <v>0 / 14 items</v>
      </c>
      <c r="F22" s="7" t="s">
        <v>41</v>
      </c>
    </row>
    <row r="23" customFormat="false" ht="15" hidden="false" customHeight="false" outlineLevel="0" collapsed="false">
      <c r="C23" s="0" t="s">
        <v>42</v>
      </c>
      <c r="D23" s="0" t="s">
        <v>43</v>
      </c>
      <c r="E23" s="10" t="str">
        <f aca="false">COUNT('Monthly Schedule'!F10:F45)&amp;" / 36 construction; "&amp;COUNT('Monthly Schedule'!I10:I45)&amp;" / 36 occupancy"</f>
        <v>0 / 36 construction; 0 / 36 occupancy</v>
      </c>
      <c r="F23" s="7" t="s">
        <v>44</v>
      </c>
    </row>
    <row r="24" customFormat="false" ht="15" hidden="false" customHeight="false" outlineLevel="0" collapsed="false">
      <c r="C24" s="0" t="s">
        <v>45</v>
      </c>
      <c r="D24" s="0" t="s">
        <v>46</v>
      </c>
      <c r="E24" s="10" t="str">
        <f aca="false">COUNT('Debt Schedule'!E10:E17)&amp;" / 8 terms"</f>
        <v>1 / 8 terms</v>
      </c>
      <c r="F24" s="7" t="s">
        <v>47</v>
      </c>
    </row>
    <row r="25" customFormat="false" ht="15" hidden="false" customHeight="false" outlineLevel="0" collapsed="false">
      <c r="C25" s="0" t="s">
        <v>48</v>
      </c>
      <c r="D25" s="0" t="s">
        <v>49</v>
      </c>
      <c r="E25" s="10" t="str">
        <f aca="false">COUNT('Inputs - SKU Register'!H148:H150)&amp;" / 3 exit drivers"</f>
        <v>0 / 3 exit drivers</v>
      </c>
      <c r="F25" s="7" t="s">
        <v>50</v>
      </c>
    </row>
    <row r="27" customFormat="false" ht="15" hidden="false" customHeight="false" outlineLevel="0" collapsed="false"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6.4" hidden="false" customHeight="false" outlineLevel="0" collapsed="false">
      <c r="C28" s="5" t="s">
        <v>52</v>
      </c>
      <c r="D28" s="5" t="s">
        <v>53</v>
      </c>
      <c r="E28" s="5" t="s">
        <v>54</v>
      </c>
    </row>
    <row r="29" customFormat="false" ht="15" hidden="false" customHeight="false" outlineLevel="0" collapsed="false">
      <c r="C29" s="0" t="s">
        <v>55</v>
      </c>
      <c r="D29" s="0" t="s">
        <v>56</v>
      </c>
      <c r="E29" s="0" t="s">
        <v>57</v>
      </c>
    </row>
    <row r="30" customFormat="false" ht="15" hidden="false" customHeight="false" outlineLevel="0" collapsed="false">
      <c r="C30" s="0" t="s">
        <v>58</v>
      </c>
      <c r="D30" s="0" t="s">
        <v>59</v>
      </c>
      <c r="E30" s="0" t="s">
        <v>60</v>
      </c>
    </row>
    <row r="31" customFormat="false" ht="15" hidden="false" customHeight="false" outlineLevel="0" collapsed="false">
      <c r="C31" s="0" t="s">
        <v>61</v>
      </c>
      <c r="D31" s="0" t="s">
        <v>62</v>
      </c>
      <c r="E31" s="0" t="s">
        <v>63</v>
      </c>
    </row>
    <row r="32" customFormat="false" ht="15" hidden="false" customHeight="false" outlineLevel="0" collapsed="false">
      <c r="C32" s="0" t="s">
        <v>64</v>
      </c>
      <c r="D32" s="0" t="s">
        <v>65</v>
      </c>
      <c r="E32" s="0" t="s">
        <v>66</v>
      </c>
    </row>
    <row r="33" customFormat="false" ht="15" hidden="false" customHeight="false" outlineLevel="0" collapsed="false">
      <c r="C33" s="0" t="s">
        <v>67</v>
      </c>
      <c r="D33" s="0" t="s">
        <v>68</v>
      </c>
      <c r="E33" s="0" t="s">
        <v>69</v>
      </c>
    </row>
    <row r="34" customFormat="false" ht="15" hidden="false" customHeight="false" outlineLevel="0" collapsed="false">
      <c r="C34" s="0" t="s">
        <v>70</v>
      </c>
      <c r="D34" s="0" t="s">
        <v>71</v>
      </c>
      <c r="E34" s="0" t="s">
        <v>72</v>
      </c>
    </row>
    <row r="35" customFormat="false" ht="15" hidden="false" customHeight="false" outlineLevel="0" collapsed="false">
      <c r="C35" s="0" t="s">
        <v>73</v>
      </c>
      <c r="D35" s="0" t="s">
        <v>74</v>
      </c>
      <c r="E35" s="0" t="s">
        <v>75</v>
      </c>
    </row>
  </sheetData>
  <mergeCells count="4">
    <mergeCell ref="C3:N3"/>
    <mergeCell ref="C8:N8"/>
    <mergeCell ref="C19:N19"/>
    <mergeCell ref="C27:N2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Underwriting Model Summary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P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2" min="11" style="0" width="40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32"/>
    <col collapsed="false" customWidth="true" hidden="false" outlineLevel="0" max="16" min="16" style="0" width="40"/>
  </cols>
  <sheetData>
    <row r="3" customFormat="false" ht="19.7" hidden="false" customHeight="false" outlineLevel="0" collapsed="false"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77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78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31.3" hidden="false" customHeight="false" outlineLevel="0" collapsed="false">
      <c r="C9" s="5" t="s">
        <v>79</v>
      </c>
      <c r="D9" s="5" t="s">
        <v>80</v>
      </c>
      <c r="E9" s="5" t="s">
        <v>81</v>
      </c>
      <c r="F9" s="5" t="s">
        <v>82</v>
      </c>
      <c r="G9" s="5" t="s">
        <v>83</v>
      </c>
      <c r="H9" s="5" t="s">
        <v>84</v>
      </c>
      <c r="I9" s="5" t="s">
        <v>85</v>
      </c>
      <c r="J9" s="5" t="s">
        <v>86</v>
      </c>
      <c r="K9" s="5" t="s">
        <v>87</v>
      </c>
      <c r="L9" s="5" t="s">
        <v>88</v>
      </c>
      <c r="M9" s="5" t="s">
        <v>89</v>
      </c>
      <c r="N9" s="5" t="s">
        <v>90</v>
      </c>
      <c r="O9" s="5" t="s">
        <v>91</v>
      </c>
      <c r="P9" s="5" t="s">
        <v>92</v>
      </c>
    </row>
    <row r="10" customFormat="false" ht="76.1" hidden="false" customHeight="false" outlineLevel="0" collapsed="false">
      <c r="C10" s="11" t="s">
        <v>93</v>
      </c>
      <c r="D10" s="11" t="s">
        <v>94</v>
      </c>
      <c r="E10" s="12" t="s">
        <v>95</v>
      </c>
      <c r="F10" s="11" t="s">
        <v>96</v>
      </c>
      <c r="G10" s="13" t="n">
        <v>40000000</v>
      </c>
      <c r="H10" s="13" t="n">
        <v>40000000</v>
      </c>
      <c r="I10" s="13"/>
      <c r="J10" s="13"/>
      <c r="K10" s="11" t="s">
        <v>97</v>
      </c>
      <c r="L10" s="12" t="s">
        <v>98</v>
      </c>
      <c r="M10" s="11"/>
      <c r="N10" s="11" t="s">
        <v>99</v>
      </c>
      <c r="O10" s="11" t="s">
        <v>100</v>
      </c>
      <c r="P10" s="12" t="s">
        <v>101</v>
      </c>
    </row>
    <row r="11" customFormat="false" ht="76.1" hidden="false" customHeight="false" outlineLevel="0" collapsed="false">
      <c r="C11" s="11" t="s">
        <v>102</v>
      </c>
      <c r="D11" s="11" t="s">
        <v>103</v>
      </c>
      <c r="E11" s="12" t="s">
        <v>104</v>
      </c>
      <c r="F11" s="11" t="s">
        <v>105</v>
      </c>
      <c r="G11" s="14" t="n">
        <v>280</v>
      </c>
      <c r="H11" s="14" t="n">
        <v>280</v>
      </c>
      <c r="I11" s="14"/>
      <c r="J11" s="14"/>
      <c r="K11" s="11" t="s">
        <v>97</v>
      </c>
      <c r="L11" s="12" t="s">
        <v>98</v>
      </c>
      <c r="M11" s="11"/>
      <c r="N11" s="11" t="s">
        <v>99</v>
      </c>
      <c r="O11" s="11" t="s">
        <v>106</v>
      </c>
      <c r="P11" s="12" t="s">
        <v>107</v>
      </c>
    </row>
    <row r="12" customFormat="false" ht="76.1" hidden="false" customHeight="false" outlineLevel="0" collapsed="false">
      <c r="C12" s="11" t="s">
        <v>108</v>
      </c>
      <c r="D12" s="11" t="s">
        <v>103</v>
      </c>
      <c r="E12" s="12" t="s">
        <v>109</v>
      </c>
      <c r="F12" s="11" t="s">
        <v>110</v>
      </c>
      <c r="G12" s="14" t="n">
        <v>5</v>
      </c>
      <c r="H12" s="14" t="n">
        <v>5</v>
      </c>
      <c r="I12" s="14"/>
      <c r="J12" s="14"/>
      <c r="K12" s="11" t="s">
        <v>97</v>
      </c>
      <c r="L12" s="12" t="s">
        <v>98</v>
      </c>
      <c r="M12" s="11"/>
      <c r="N12" s="11" t="s">
        <v>99</v>
      </c>
      <c r="O12" s="11" t="s">
        <v>111</v>
      </c>
      <c r="P12" s="12" t="s">
        <v>112</v>
      </c>
    </row>
    <row r="13" customFormat="false" ht="76.1" hidden="false" customHeight="false" outlineLevel="0" collapsed="false">
      <c r="C13" s="11" t="s">
        <v>113</v>
      </c>
      <c r="D13" s="11" t="s">
        <v>103</v>
      </c>
      <c r="E13" s="12" t="s">
        <v>114</v>
      </c>
      <c r="F13" s="11" t="s">
        <v>115</v>
      </c>
      <c r="G13" s="14" t="n">
        <v>893</v>
      </c>
      <c r="H13" s="14" t="n">
        <v>893</v>
      </c>
      <c r="I13" s="14"/>
      <c r="J13" s="14"/>
      <c r="K13" s="11" t="s">
        <v>116</v>
      </c>
      <c r="L13" s="12" t="s">
        <v>98</v>
      </c>
      <c r="M13" s="11"/>
      <c r="N13" s="11" t="s">
        <v>99</v>
      </c>
      <c r="O13" s="11" t="s">
        <v>61</v>
      </c>
      <c r="P13" s="12" t="s">
        <v>117</v>
      </c>
    </row>
    <row r="14" customFormat="false" ht="76.1" hidden="false" customHeight="false" outlineLevel="0" collapsed="false">
      <c r="C14" s="11" t="s">
        <v>118</v>
      </c>
      <c r="D14" s="11" t="s">
        <v>119</v>
      </c>
      <c r="E14" s="12" t="s">
        <v>120</v>
      </c>
      <c r="F14" s="11" t="s">
        <v>121</v>
      </c>
      <c r="G14" s="13" t="n">
        <v>155</v>
      </c>
      <c r="H14" s="13" t="n">
        <v>155</v>
      </c>
      <c r="I14" s="13"/>
      <c r="J14" s="13"/>
      <c r="K14" s="11" t="s">
        <v>97</v>
      </c>
      <c r="L14" s="12" t="s">
        <v>98</v>
      </c>
      <c r="M14" s="11"/>
      <c r="N14" s="11" t="s">
        <v>99</v>
      </c>
      <c r="O14" s="11" t="s">
        <v>122</v>
      </c>
      <c r="P14" s="12" t="s">
        <v>123</v>
      </c>
    </row>
    <row r="15" customFormat="false" ht="76.1" hidden="false" customHeight="false" outlineLevel="0" collapsed="false">
      <c r="C15" s="11" t="s">
        <v>124</v>
      </c>
      <c r="D15" s="11" t="s">
        <v>119</v>
      </c>
      <c r="E15" s="12" t="s">
        <v>125</v>
      </c>
      <c r="F15" s="11" t="s">
        <v>121</v>
      </c>
      <c r="G15" s="13" t="n">
        <v>160</v>
      </c>
      <c r="H15" s="13" t="n">
        <v>160</v>
      </c>
      <c r="I15" s="13"/>
      <c r="J15" s="13"/>
      <c r="K15" s="11" t="s">
        <v>97</v>
      </c>
      <c r="L15" s="12" t="s">
        <v>98</v>
      </c>
      <c r="M15" s="11"/>
      <c r="N15" s="11" t="s">
        <v>99</v>
      </c>
      <c r="O15" s="11" t="s">
        <v>122</v>
      </c>
      <c r="P15" s="12" t="s">
        <v>123</v>
      </c>
    </row>
    <row r="16" customFormat="false" ht="76.1" hidden="false" customHeight="false" outlineLevel="0" collapsed="false">
      <c r="C16" s="11" t="s">
        <v>126</v>
      </c>
      <c r="D16" s="11" t="s">
        <v>119</v>
      </c>
      <c r="E16" s="12" t="s">
        <v>127</v>
      </c>
      <c r="F16" s="11" t="s">
        <v>121</v>
      </c>
      <c r="G16" s="13" t="n">
        <v>165</v>
      </c>
      <c r="H16" s="13" t="n">
        <v>165</v>
      </c>
      <c r="I16" s="13"/>
      <c r="J16" s="13"/>
      <c r="K16" s="11" t="s">
        <v>97</v>
      </c>
      <c r="L16" s="12" t="s">
        <v>98</v>
      </c>
      <c r="M16" s="11"/>
      <c r="N16" s="11" t="s">
        <v>99</v>
      </c>
      <c r="O16" s="11" t="s">
        <v>122</v>
      </c>
      <c r="P16" s="12" t="s">
        <v>123</v>
      </c>
    </row>
    <row r="17" customFormat="false" ht="76.1" hidden="false" customHeight="false" outlineLevel="0" collapsed="false">
      <c r="C17" s="11" t="s">
        <v>128</v>
      </c>
      <c r="D17" s="11" t="s">
        <v>103</v>
      </c>
      <c r="E17" s="12" t="s">
        <v>129</v>
      </c>
      <c r="F17" s="11" t="s">
        <v>130</v>
      </c>
      <c r="G17" s="14" t="n">
        <v>250000</v>
      </c>
      <c r="H17" s="14" t="n">
        <v>250000</v>
      </c>
      <c r="I17" s="14"/>
      <c r="J17" s="14"/>
      <c r="K17" s="11" t="s">
        <v>116</v>
      </c>
      <c r="L17" s="12" t="s">
        <v>98</v>
      </c>
      <c r="M17" s="11"/>
      <c r="N17" s="11" t="s">
        <v>99</v>
      </c>
      <c r="O17" s="11" t="s">
        <v>111</v>
      </c>
      <c r="P17" s="12" t="s">
        <v>131</v>
      </c>
    </row>
    <row r="18" customFormat="false" ht="76.1" hidden="false" customHeight="false" outlineLevel="0" collapsed="false">
      <c r="C18" s="11" t="s">
        <v>132</v>
      </c>
      <c r="D18" s="11" t="s">
        <v>133</v>
      </c>
      <c r="E18" s="12" t="s">
        <v>23</v>
      </c>
      <c r="F18" s="11" t="s">
        <v>134</v>
      </c>
      <c r="G18" s="13" t="n">
        <v>4750000</v>
      </c>
      <c r="H18" s="13" t="n">
        <v>4750000</v>
      </c>
      <c r="I18" s="13"/>
      <c r="J18" s="13"/>
      <c r="K18" s="11" t="s">
        <v>97</v>
      </c>
      <c r="L18" s="12" t="s">
        <v>98</v>
      </c>
      <c r="M18" s="11"/>
      <c r="N18" s="11" t="s">
        <v>99</v>
      </c>
      <c r="O18" s="11" t="s">
        <v>135</v>
      </c>
      <c r="P18" s="12" t="s">
        <v>136</v>
      </c>
    </row>
    <row r="19" customFormat="false" ht="76.1" hidden="false" customHeight="false" outlineLevel="0" collapsed="false">
      <c r="C19" s="11" t="s">
        <v>137</v>
      </c>
      <c r="D19" s="11" t="s">
        <v>133</v>
      </c>
      <c r="E19" s="12" t="s">
        <v>25</v>
      </c>
      <c r="F19" s="11" t="s">
        <v>138</v>
      </c>
      <c r="G19" s="15" t="n">
        <v>0.11875</v>
      </c>
      <c r="H19" s="15" t="n">
        <v>0.11875</v>
      </c>
      <c r="I19" s="15"/>
      <c r="J19" s="15"/>
      <c r="K19" s="11" t="s">
        <v>139</v>
      </c>
      <c r="L19" s="12" t="s">
        <v>98</v>
      </c>
      <c r="M19" s="11"/>
      <c r="N19" s="11" t="s">
        <v>99</v>
      </c>
      <c r="O19" s="11" t="s">
        <v>135</v>
      </c>
      <c r="P19" s="12" t="s">
        <v>140</v>
      </c>
    </row>
    <row r="20" customFormat="false" ht="76.1" hidden="false" customHeight="false" outlineLevel="0" collapsed="false">
      <c r="C20" s="11" t="s">
        <v>141</v>
      </c>
      <c r="D20" s="11" t="s">
        <v>29</v>
      </c>
      <c r="E20" s="12" t="s">
        <v>142</v>
      </c>
      <c r="F20" s="11" t="s">
        <v>96</v>
      </c>
      <c r="G20" s="13" t="n">
        <v>55000000</v>
      </c>
      <c r="H20" s="13"/>
      <c r="I20" s="13"/>
      <c r="J20" s="13"/>
      <c r="K20" s="11" t="s">
        <v>143</v>
      </c>
      <c r="L20" s="12" t="s">
        <v>98</v>
      </c>
      <c r="M20" s="11"/>
      <c r="N20" s="11" t="s">
        <v>99</v>
      </c>
      <c r="O20" s="11" t="s">
        <v>144</v>
      </c>
      <c r="P20" s="12" t="s">
        <v>145</v>
      </c>
    </row>
    <row r="22" customFormat="false" ht="15" hidden="false" customHeight="false" outlineLevel="0" collapsed="false">
      <c r="C22" s="4" t="s">
        <v>146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6.4" hidden="false" customHeight="false" outlineLevel="0" collapsed="false">
      <c r="C23" s="5" t="s">
        <v>79</v>
      </c>
      <c r="D23" s="5" t="s">
        <v>80</v>
      </c>
      <c r="E23" s="5" t="s">
        <v>81</v>
      </c>
      <c r="F23" s="5" t="s">
        <v>82</v>
      </c>
      <c r="G23" s="5" t="s">
        <v>83</v>
      </c>
      <c r="H23" s="5" t="s">
        <v>84</v>
      </c>
      <c r="I23" s="5" t="s">
        <v>85</v>
      </c>
      <c r="J23" s="5" t="s">
        <v>86</v>
      </c>
      <c r="K23" s="5" t="s">
        <v>87</v>
      </c>
      <c r="L23" s="5" t="s">
        <v>88</v>
      </c>
      <c r="M23" s="5" t="s">
        <v>89</v>
      </c>
      <c r="N23" s="5" t="s">
        <v>90</v>
      </c>
      <c r="O23" s="5" t="s">
        <v>91</v>
      </c>
      <c r="P23" s="5" t="s">
        <v>92</v>
      </c>
    </row>
    <row r="24" customFormat="false" ht="31.3" hidden="false" customHeight="false" outlineLevel="0" collapsed="false">
      <c r="C24" s="11" t="s">
        <v>147</v>
      </c>
      <c r="D24" s="11" t="s">
        <v>148</v>
      </c>
      <c r="E24" s="12" t="s">
        <v>149</v>
      </c>
      <c r="F24" s="11" t="s">
        <v>105</v>
      </c>
      <c r="G24" s="14"/>
      <c r="H24" s="14"/>
      <c r="I24" s="14"/>
      <c r="J24" s="14"/>
      <c r="K24" s="11" t="s">
        <v>150</v>
      </c>
      <c r="L24" s="12" t="s">
        <v>151</v>
      </c>
      <c r="M24" s="11"/>
      <c r="N24" s="11" t="s">
        <v>99</v>
      </c>
      <c r="O24" s="11" t="s">
        <v>61</v>
      </c>
      <c r="P24" s="12" t="s">
        <v>152</v>
      </c>
    </row>
    <row r="25" customFormat="false" ht="16.4" hidden="false" customHeight="false" outlineLevel="0" collapsed="false">
      <c r="C25" s="11" t="s">
        <v>153</v>
      </c>
      <c r="D25" s="11" t="s">
        <v>148</v>
      </c>
      <c r="E25" s="12" t="s">
        <v>154</v>
      </c>
      <c r="F25" s="11" t="s">
        <v>115</v>
      </c>
      <c r="G25" s="14"/>
      <c r="H25" s="14"/>
      <c r="I25" s="14"/>
      <c r="J25" s="14"/>
      <c r="K25" s="11" t="s">
        <v>150</v>
      </c>
      <c r="L25" s="12" t="s">
        <v>151</v>
      </c>
      <c r="M25" s="11"/>
      <c r="N25" s="11" t="s">
        <v>99</v>
      </c>
      <c r="O25" s="11" t="s">
        <v>61</v>
      </c>
      <c r="P25" s="12" t="s">
        <v>155</v>
      </c>
    </row>
    <row r="26" customFormat="false" ht="31.3" hidden="false" customHeight="false" outlineLevel="0" collapsed="false">
      <c r="C26" s="11" t="s">
        <v>156</v>
      </c>
      <c r="D26" s="11" t="s">
        <v>157</v>
      </c>
      <c r="E26" s="12" t="s">
        <v>158</v>
      </c>
      <c r="F26" s="11" t="s">
        <v>159</v>
      </c>
      <c r="G26" s="13"/>
      <c r="H26" s="13"/>
      <c r="I26" s="13"/>
      <c r="J26" s="13"/>
      <c r="K26" s="11" t="s">
        <v>150</v>
      </c>
      <c r="L26" s="12" t="s">
        <v>151</v>
      </c>
      <c r="M26" s="11"/>
      <c r="N26" s="11" t="s">
        <v>99</v>
      </c>
      <c r="O26" s="11" t="s">
        <v>160</v>
      </c>
      <c r="P26" s="12" t="s">
        <v>161</v>
      </c>
    </row>
    <row r="27" customFormat="false" ht="31.3" hidden="false" customHeight="false" outlineLevel="0" collapsed="false">
      <c r="C27" s="11" t="s">
        <v>162</v>
      </c>
      <c r="D27" s="11" t="s">
        <v>163</v>
      </c>
      <c r="E27" s="12" t="s">
        <v>164</v>
      </c>
      <c r="F27" s="11" t="s">
        <v>138</v>
      </c>
      <c r="G27" s="15"/>
      <c r="H27" s="15"/>
      <c r="I27" s="15"/>
      <c r="J27" s="15"/>
      <c r="K27" s="11" t="s">
        <v>150</v>
      </c>
      <c r="L27" s="12" t="s">
        <v>151</v>
      </c>
      <c r="M27" s="11"/>
      <c r="N27" s="11" t="s">
        <v>99</v>
      </c>
      <c r="O27" s="11" t="s">
        <v>165</v>
      </c>
      <c r="P27" s="12" t="s">
        <v>166</v>
      </c>
    </row>
    <row r="28" customFormat="false" ht="31.3" hidden="false" customHeight="false" outlineLevel="0" collapsed="false">
      <c r="C28" s="11" t="s">
        <v>167</v>
      </c>
      <c r="D28" s="11" t="s">
        <v>148</v>
      </c>
      <c r="E28" s="12" t="s">
        <v>168</v>
      </c>
      <c r="F28" s="11" t="s">
        <v>105</v>
      </c>
      <c r="G28" s="14"/>
      <c r="H28" s="14"/>
      <c r="I28" s="14"/>
      <c r="J28" s="14"/>
      <c r="K28" s="11" t="s">
        <v>150</v>
      </c>
      <c r="L28" s="12" t="s">
        <v>151</v>
      </c>
      <c r="M28" s="11"/>
      <c r="N28" s="11" t="s">
        <v>99</v>
      </c>
      <c r="O28" s="11" t="s">
        <v>61</v>
      </c>
      <c r="P28" s="12" t="s">
        <v>152</v>
      </c>
    </row>
    <row r="29" customFormat="false" ht="16.4" hidden="false" customHeight="false" outlineLevel="0" collapsed="false">
      <c r="C29" s="11" t="s">
        <v>169</v>
      </c>
      <c r="D29" s="11" t="s">
        <v>148</v>
      </c>
      <c r="E29" s="12" t="s">
        <v>170</v>
      </c>
      <c r="F29" s="11" t="s">
        <v>115</v>
      </c>
      <c r="G29" s="14"/>
      <c r="H29" s="14"/>
      <c r="I29" s="14"/>
      <c r="J29" s="14"/>
      <c r="K29" s="11" t="s">
        <v>150</v>
      </c>
      <c r="L29" s="12" t="s">
        <v>151</v>
      </c>
      <c r="M29" s="11"/>
      <c r="N29" s="11" t="s">
        <v>99</v>
      </c>
      <c r="O29" s="11" t="s">
        <v>61</v>
      </c>
      <c r="P29" s="12" t="s">
        <v>155</v>
      </c>
    </row>
    <row r="30" customFormat="false" ht="31.3" hidden="false" customHeight="false" outlineLevel="0" collapsed="false">
      <c r="C30" s="11" t="s">
        <v>171</v>
      </c>
      <c r="D30" s="11" t="s">
        <v>157</v>
      </c>
      <c r="E30" s="12" t="s">
        <v>172</v>
      </c>
      <c r="F30" s="11" t="s">
        <v>159</v>
      </c>
      <c r="G30" s="13"/>
      <c r="H30" s="13"/>
      <c r="I30" s="13"/>
      <c r="J30" s="13"/>
      <c r="K30" s="11" t="s">
        <v>150</v>
      </c>
      <c r="L30" s="12" t="s">
        <v>151</v>
      </c>
      <c r="M30" s="11"/>
      <c r="N30" s="11" t="s">
        <v>99</v>
      </c>
      <c r="O30" s="11" t="s">
        <v>160</v>
      </c>
      <c r="P30" s="12" t="s">
        <v>161</v>
      </c>
    </row>
    <row r="31" customFormat="false" ht="31.3" hidden="false" customHeight="false" outlineLevel="0" collapsed="false">
      <c r="C31" s="11" t="s">
        <v>173</v>
      </c>
      <c r="D31" s="11" t="s">
        <v>163</v>
      </c>
      <c r="E31" s="12" t="s">
        <v>174</v>
      </c>
      <c r="F31" s="11" t="s">
        <v>138</v>
      </c>
      <c r="G31" s="15"/>
      <c r="H31" s="15"/>
      <c r="I31" s="15"/>
      <c r="J31" s="15"/>
      <c r="K31" s="11" t="s">
        <v>150</v>
      </c>
      <c r="L31" s="12" t="s">
        <v>151</v>
      </c>
      <c r="M31" s="11"/>
      <c r="N31" s="11" t="s">
        <v>99</v>
      </c>
      <c r="O31" s="11" t="s">
        <v>165</v>
      </c>
      <c r="P31" s="12" t="s">
        <v>166</v>
      </c>
    </row>
    <row r="32" customFormat="false" ht="31.3" hidden="false" customHeight="false" outlineLevel="0" collapsed="false">
      <c r="C32" s="11" t="s">
        <v>175</v>
      </c>
      <c r="D32" s="11" t="s">
        <v>148</v>
      </c>
      <c r="E32" s="12" t="s">
        <v>176</v>
      </c>
      <c r="F32" s="11" t="s">
        <v>105</v>
      </c>
      <c r="G32" s="14"/>
      <c r="H32" s="14"/>
      <c r="I32" s="14"/>
      <c r="J32" s="14"/>
      <c r="K32" s="11" t="s">
        <v>150</v>
      </c>
      <c r="L32" s="12" t="s">
        <v>151</v>
      </c>
      <c r="M32" s="11"/>
      <c r="N32" s="11" t="s">
        <v>99</v>
      </c>
      <c r="O32" s="11" t="s">
        <v>61</v>
      </c>
      <c r="P32" s="12" t="s">
        <v>152</v>
      </c>
    </row>
    <row r="33" customFormat="false" ht="16.4" hidden="false" customHeight="false" outlineLevel="0" collapsed="false">
      <c r="C33" s="11" t="s">
        <v>177</v>
      </c>
      <c r="D33" s="11" t="s">
        <v>148</v>
      </c>
      <c r="E33" s="12" t="s">
        <v>178</v>
      </c>
      <c r="F33" s="11" t="s">
        <v>115</v>
      </c>
      <c r="G33" s="14"/>
      <c r="H33" s="14"/>
      <c r="I33" s="14"/>
      <c r="J33" s="14"/>
      <c r="K33" s="11" t="s">
        <v>150</v>
      </c>
      <c r="L33" s="12" t="s">
        <v>151</v>
      </c>
      <c r="M33" s="11"/>
      <c r="N33" s="11" t="s">
        <v>99</v>
      </c>
      <c r="O33" s="11" t="s">
        <v>61</v>
      </c>
      <c r="P33" s="12" t="s">
        <v>155</v>
      </c>
    </row>
    <row r="34" customFormat="false" ht="31.3" hidden="false" customHeight="false" outlineLevel="0" collapsed="false">
      <c r="C34" s="11" t="s">
        <v>179</v>
      </c>
      <c r="D34" s="11" t="s">
        <v>157</v>
      </c>
      <c r="E34" s="12" t="s">
        <v>180</v>
      </c>
      <c r="F34" s="11" t="s">
        <v>159</v>
      </c>
      <c r="G34" s="13"/>
      <c r="H34" s="13"/>
      <c r="I34" s="13"/>
      <c r="J34" s="13"/>
      <c r="K34" s="11" t="s">
        <v>150</v>
      </c>
      <c r="L34" s="12" t="s">
        <v>151</v>
      </c>
      <c r="M34" s="11"/>
      <c r="N34" s="11" t="s">
        <v>99</v>
      </c>
      <c r="O34" s="11" t="s">
        <v>160</v>
      </c>
      <c r="P34" s="12" t="s">
        <v>161</v>
      </c>
    </row>
    <row r="35" customFormat="false" ht="31.3" hidden="false" customHeight="false" outlineLevel="0" collapsed="false">
      <c r="C35" s="11" t="s">
        <v>181</v>
      </c>
      <c r="D35" s="11" t="s">
        <v>163</v>
      </c>
      <c r="E35" s="12" t="s">
        <v>182</v>
      </c>
      <c r="F35" s="11" t="s">
        <v>138</v>
      </c>
      <c r="G35" s="15"/>
      <c r="H35" s="15"/>
      <c r="I35" s="15"/>
      <c r="J35" s="15"/>
      <c r="K35" s="11" t="s">
        <v>150</v>
      </c>
      <c r="L35" s="12" t="s">
        <v>151</v>
      </c>
      <c r="M35" s="11"/>
      <c r="N35" s="11" t="s">
        <v>99</v>
      </c>
      <c r="O35" s="11" t="s">
        <v>165</v>
      </c>
      <c r="P35" s="12" t="s">
        <v>166</v>
      </c>
    </row>
    <row r="36" customFormat="false" ht="31.3" hidden="false" customHeight="false" outlineLevel="0" collapsed="false">
      <c r="C36" s="11" t="s">
        <v>183</v>
      </c>
      <c r="D36" s="11" t="s">
        <v>148</v>
      </c>
      <c r="E36" s="12" t="s">
        <v>184</v>
      </c>
      <c r="F36" s="11" t="s">
        <v>105</v>
      </c>
      <c r="G36" s="14"/>
      <c r="H36" s="14"/>
      <c r="I36" s="14"/>
      <c r="J36" s="14"/>
      <c r="K36" s="11" t="s">
        <v>150</v>
      </c>
      <c r="L36" s="12" t="s">
        <v>151</v>
      </c>
      <c r="M36" s="11"/>
      <c r="N36" s="11" t="s">
        <v>99</v>
      </c>
      <c r="O36" s="11" t="s">
        <v>61</v>
      </c>
      <c r="P36" s="12" t="s">
        <v>152</v>
      </c>
    </row>
    <row r="37" customFormat="false" ht="16.4" hidden="false" customHeight="false" outlineLevel="0" collapsed="false">
      <c r="C37" s="11" t="s">
        <v>185</v>
      </c>
      <c r="D37" s="11" t="s">
        <v>148</v>
      </c>
      <c r="E37" s="12" t="s">
        <v>186</v>
      </c>
      <c r="F37" s="11" t="s">
        <v>115</v>
      </c>
      <c r="G37" s="14"/>
      <c r="H37" s="14"/>
      <c r="I37" s="14"/>
      <c r="J37" s="14"/>
      <c r="K37" s="11" t="s">
        <v>150</v>
      </c>
      <c r="L37" s="12" t="s">
        <v>151</v>
      </c>
      <c r="M37" s="11"/>
      <c r="N37" s="11" t="s">
        <v>99</v>
      </c>
      <c r="O37" s="11" t="s">
        <v>61</v>
      </c>
      <c r="P37" s="12" t="s">
        <v>155</v>
      </c>
    </row>
    <row r="38" customFormat="false" ht="31.3" hidden="false" customHeight="false" outlineLevel="0" collapsed="false">
      <c r="C38" s="11" t="s">
        <v>187</v>
      </c>
      <c r="D38" s="11" t="s">
        <v>157</v>
      </c>
      <c r="E38" s="12" t="s">
        <v>188</v>
      </c>
      <c r="F38" s="11" t="s">
        <v>159</v>
      </c>
      <c r="G38" s="13"/>
      <c r="H38" s="13"/>
      <c r="I38" s="13"/>
      <c r="J38" s="13"/>
      <c r="K38" s="11" t="s">
        <v>150</v>
      </c>
      <c r="L38" s="12" t="s">
        <v>151</v>
      </c>
      <c r="M38" s="11"/>
      <c r="N38" s="11" t="s">
        <v>99</v>
      </c>
      <c r="O38" s="11" t="s">
        <v>160</v>
      </c>
      <c r="P38" s="12" t="s">
        <v>161</v>
      </c>
    </row>
    <row r="39" customFormat="false" ht="31.3" hidden="false" customHeight="false" outlineLevel="0" collapsed="false">
      <c r="C39" s="11" t="s">
        <v>189</v>
      </c>
      <c r="D39" s="11" t="s">
        <v>163</v>
      </c>
      <c r="E39" s="12" t="s">
        <v>190</v>
      </c>
      <c r="F39" s="11" t="s">
        <v>138</v>
      </c>
      <c r="G39" s="15"/>
      <c r="H39" s="15"/>
      <c r="I39" s="15"/>
      <c r="J39" s="15"/>
      <c r="K39" s="11" t="s">
        <v>150</v>
      </c>
      <c r="L39" s="12" t="s">
        <v>151</v>
      </c>
      <c r="M39" s="11"/>
      <c r="N39" s="11" t="s">
        <v>99</v>
      </c>
      <c r="O39" s="11" t="s">
        <v>165</v>
      </c>
      <c r="P39" s="12" t="s">
        <v>166</v>
      </c>
    </row>
    <row r="40" customFormat="false" ht="46.25" hidden="false" customHeight="false" outlineLevel="0" collapsed="false">
      <c r="C40" s="11" t="s">
        <v>191</v>
      </c>
      <c r="D40" s="11" t="s">
        <v>192</v>
      </c>
      <c r="E40" s="12" t="s">
        <v>193</v>
      </c>
      <c r="F40" s="11" t="s">
        <v>159</v>
      </c>
      <c r="G40" s="13"/>
      <c r="H40" s="13"/>
      <c r="I40" s="13"/>
      <c r="J40" s="13"/>
      <c r="K40" s="11" t="s">
        <v>150</v>
      </c>
      <c r="L40" s="12" t="s">
        <v>151</v>
      </c>
      <c r="M40" s="11"/>
      <c r="N40" s="11" t="s">
        <v>99</v>
      </c>
      <c r="O40" s="11" t="s">
        <v>194</v>
      </c>
      <c r="P40" s="12" t="s">
        <v>195</v>
      </c>
    </row>
    <row r="41" customFormat="false" ht="31.3" hidden="false" customHeight="false" outlineLevel="0" collapsed="false">
      <c r="C41" s="11" t="s">
        <v>196</v>
      </c>
      <c r="D41" s="11" t="s">
        <v>197</v>
      </c>
      <c r="E41" s="12" t="s">
        <v>198</v>
      </c>
      <c r="F41" s="11" t="s">
        <v>199</v>
      </c>
      <c r="G41" s="15"/>
      <c r="H41" s="15"/>
      <c r="I41" s="15"/>
      <c r="J41" s="15"/>
      <c r="K41" s="11" t="s">
        <v>150</v>
      </c>
      <c r="L41" s="12" t="s">
        <v>151</v>
      </c>
      <c r="M41" s="11"/>
      <c r="N41" s="11" t="s">
        <v>99</v>
      </c>
      <c r="O41" s="11" t="s">
        <v>194</v>
      </c>
      <c r="P41" s="12" t="s">
        <v>200</v>
      </c>
    </row>
    <row r="42" customFormat="false" ht="16.4" hidden="false" customHeight="false" outlineLevel="0" collapsed="false">
      <c r="C42" s="11" t="s">
        <v>201</v>
      </c>
      <c r="D42" s="11" t="s">
        <v>202</v>
      </c>
      <c r="E42" s="12" t="s">
        <v>203</v>
      </c>
      <c r="F42" s="11" t="s">
        <v>204</v>
      </c>
      <c r="G42" s="14"/>
      <c r="H42" s="14"/>
      <c r="I42" s="14"/>
      <c r="J42" s="14"/>
      <c r="K42" s="11" t="s">
        <v>150</v>
      </c>
      <c r="L42" s="12" t="s">
        <v>151</v>
      </c>
      <c r="M42" s="11"/>
      <c r="N42" s="11" t="s">
        <v>99</v>
      </c>
      <c r="O42" s="11" t="s">
        <v>67</v>
      </c>
      <c r="P42" s="12" t="s">
        <v>205</v>
      </c>
    </row>
    <row r="44" customFormat="false" ht="15" hidden="false" customHeight="false" outlineLevel="0" collapsed="false">
      <c r="C44" s="4" t="s">
        <v>206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6.4" hidden="false" customHeight="false" outlineLevel="0" collapsed="false">
      <c r="C45" s="5" t="s">
        <v>79</v>
      </c>
      <c r="D45" s="5" t="s">
        <v>80</v>
      </c>
      <c r="E45" s="5" t="s">
        <v>81</v>
      </c>
      <c r="F45" s="5" t="s">
        <v>82</v>
      </c>
      <c r="G45" s="5" t="s">
        <v>83</v>
      </c>
      <c r="H45" s="5" t="s">
        <v>84</v>
      </c>
      <c r="I45" s="5" t="s">
        <v>85</v>
      </c>
      <c r="J45" s="5" t="s">
        <v>86</v>
      </c>
      <c r="K45" s="5" t="s">
        <v>87</v>
      </c>
      <c r="L45" s="5" t="s">
        <v>88</v>
      </c>
      <c r="M45" s="5" t="s">
        <v>89</v>
      </c>
      <c r="N45" s="5" t="s">
        <v>90</v>
      </c>
      <c r="O45" s="5" t="s">
        <v>91</v>
      </c>
      <c r="P45" s="5" t="s">
        <v>92</v>
      </c>
    </row>
    <row r="46" customFormat="false" ht="31.3" hidden="false" customHeight="false" outlineLevel="0" collapsed="false">
      <c r="C46" s="11" t="s">
        <v>207</v>
      </c>
      <c r="D46" s="11" t="s">
        <v>208</v>
      </c>
      <c r="E46" s="12" t="s">
        <v>209</v>
      </c>
      <c r="F46" s="11" t="s">
        <v>134</v>
      </c>
      <c r="G46" s="13"/>
      <c r="H46" s="13"/>
      <c r="I46" s="13"/>
      <c r="J46" s="13"/>
      <c r="K46" s="11" t="s">
        <v>150</v>
      </c>
      <c r="L46" s="12" t="s">
        <v>151</v>
      </c>
      <c r="M46" s="11"/>
      <c r="N46" s="11" t="s">
        <v>99</v>
      </c>
      <c r="O46" s="11" t="s">
        <v>64</v>
      </c>
      <c r="P46" s="12" t="s">
        <v>210</v>
      </c>
    </row>
    <row r="47" customFormat="false" ht="31.3" hidden="false" customHeight="false" outlineLevel="0" collapsed="false">
      <c r="C47" s="11" t="s">
        <v>211</v>
      </c>
      <c r="D47" s="11" t="s">
        <v>208</v>
      </c>
      <c r="E47" s="12" t="s">
        <v>212</v>
      </c>
      <c r="F47" s="11" t="s">
        <v>134</v>
      </c>
      <c r="G47" s="13"/>
      <c r="H47" s="13"/>
      <c r="I47" s="13"/>
      <c r="J47" s="13"/>
      <c r="K47" s="11" t="s">
        <v>150</v>
      </c>
      <c r="L47" s="12" t="s">
        <v>151</v>
      </c>
      <c r="M47" s="11"/>
      <c r="N47" s="11" t="s">
        <v>99</v>
      </c>
      <c r="O47" s="11" t="s">
        <v>64</v>
      </c>
      <c r="P47" s="12" t="s">
        <v>210</v>
      </c>
    </row>
    <row r="48" customFormat="false" ht="31.3" hidden="false" customHeight="false" outlineLevel="0" collapsed="false">
      <c r="C48" s="11" t="s">
        <v>213</v>
      </c>
      <c r="D48" s="11" t="s">
        <v>208</v>
      </c>
      <c r="E48" s="12" t="s">
        <v>214</v>
      </c>
      <c r="F48" s="11" t="s">
        <v>134</v>
      </c>
      <c r="G48" s="13"/>
      <c r="H48" s="13"/>
      <c r="I48" s="13"/>
      <c r="J48" s="13"/>
      <c r="K48" s="11" t="s">
        <v>150</v>
      </c>
      <c r="L48" s="12" t="s">
        <v>151</v>
      </c>
      <c r="M48" s="11"/>
      <c r="N48" s="11" t="s">
        <v>99</v>
      </c>
      <c r="O48" s="11" t="s">
        <v>64</v>
      </c>
      <c r="P48" s="12" t="s">
        <v>210</v>
      </c>
    </row>
    <row r="49" customFormat="false" ht="31.3" hidden="false" customHeight="false" outlineLevel="0" collapsed="false">
      <c r="C49" s="11" t="s">
        <v>215</v>
      </c>
      <c r="D49" s="11" t="s">
        <v>208</v>
      </c>
      <c r="E49" s="12" t="s">
        <v>216</v>
      </c>
      <c r="F49" s="11" t="s">
        <v>134</v>
      </c>
      <c r="G49" s="13"/>
      <c r="H49" s="13"/>
      <c r="I49" s="13"/>
      <c r="J49" s="13"/>
      <c r="K49" s="11" t="s">
        <v>150</v>
      </c>
      <c r="L49" s="12" t="s">
        <v>151</v>
      </c>
      <c r="M49" s="11"/>
      <c r="N49" s="11" t="s">
        <v>99</v>
      </c>
      <c r="O49" s="11" t="s">
        <v>64</v>
      </c>
      <c r="P49" s="12" t="s">
        <v>210</v>
      </c>
    </row>
    <row r="50" customFormat="false" ht="31.3" hidden="false" customHeight="false" outlineLevel="0" collapsed="false">
      <c r="C50" s="11" t="s">
        <v>217</v>
      </c>
      <c r="D50" s="11" t="s">
        <v>208</v>
      </c>
      <c r="E50" s="12" t="s">
        <v>218</v>
      </c>
      <c r="F50" s="11" t="s">
        <v>134</v>
      </c>
      <c r="G50" s="13"/>
      <c r="H50" s="13"/>
      <c r="I50" s="13"/>
      <c r="J50" s="13"/>
      <c r="K50" s="11" t="s">
        <v>150</v>
      </c>
      <c r="L50" s="12" t="s">
        <v>151</v>
      </c>
      <c r="M50" s="11"/>
      <c r="N50" s="11" t="s">
        <v>99</v>
      </c>
      <c r="O50" s="11" t="s">
        <v>64</v>
      </c>
      <c r="P50" s="12" t="s">
        <v>210</v>
      </c>
    </row>
    <row r="51" customFormat="false" ht="31.3" hidden="false" customHeight="false" outlineLevel="0" collapsed="false">
      <c r="C51" s="11" t="s">
        <v>219</v>
      </c>
      <c r="D51" s="11" t="s">
        <v>208</v>
      </c>
      <c r="E51" s="12" t="s">
        <v>220</v>
      </c>
      <c r="F51" s="11" t="s">
        <v>134</v>
      </c>
      <c r="G51" s="13"/>
      <c r="H51" s="13"/>
      <c r="I51" s="13"/>
      <c r="J51" s="13"/>
      <c r="K51" s="11" t="s">
        <v>150</v>
      </c>
      <c r="L51" s="12" t="s">
        <v>151</v>
      </c>
      <c r="M51" s="11"/>
      <c r="N51" s="11" t="s">
        <v>99</v>
      </c>
      <c r="O51" s="11" t="s">
        <v>64</v>
      </c>
      <c r="P51" s="12" t="s">
        <v>210</v>
      </c>
    </row>
    <row r="52" customFormat="false" ht="31.3" hidden="false" customHeight="false" outlineLevel="0" collapsed="false">
      <c r="C52" s="11" t="s">
        <v>221</v>
      </c>
      <c r="D52" s="11" t="s">
        <v>208</v>
      </c>
      <c r="E52" s="12" t="s">
        <v>222</v>
      </c>
      <c r="F52" s="11" t="s">
        <v>134</v>
      </c>
      <c r="G52" s="13"/>
      <c r="H52" s="13"/>
      <c r="I52" s="13"/>
      <c r="J52" s="13"/>
      <c r="K52" s="11" t="s">
        <v>150</v>
      </c>
      <c r="L52" s="12" t="s">
        <v>151</v>
      </c>
      <c r="M52" s="11"/>
      <c r="N52" s="11" t="s">
        <v>99</v>
      </c>
      <c r="O52" s="11" t="s">
        <v>64</v>
      </c>
      <c r="P52" s="12" t="s">
        <v>210</v>
      </c>
    </row>
    <row r="53" customFormat="false" ht="31.3" hidden="false" customHeight="false" outlineLevel="0" collapsed="false">
      <c r="C53" s="11" t="s">
        <v>223</v>
      </c>
      <c r="D53" s="11" t="s">
        <v>208</v>
      </c>
      <c r="E53" s="12" t="s">
        <v>224</v>
      </c>
      <c r="F53" s="11" t="s">
        <v>134</v>
      </c>
      <c r="G53" s="13"/>
      <c r="H53" s="13"/>
      <c r="I53" s="13"/>
      <c r="J53" s="13"/>
      <c r="K53" s="11" t="s">
        <v>150</v>
      </c>
      <c r="L53" s="12" t="s">
        <v>151</v>
      </c>
      <c r="M53" s="11"/>
      <c r="N53" s="11" t="s">
        <v>99</v>
      </c>
      <c r="O53" s="11" t="s">
        <v>64</v>
      </c>
      <c r="P53" s="12" t="s">
        <v>210</v>
      </c>
    </row>
    <row r="54" customFormat="false" ht="31.3" hidden="false" customHeight="false" outlineLevel="0" collapsed="false">
      <c r="C54" s="11" t="s">
        <v>225</v>
      </c>
      <c r="D54" s="11" t="s">
        <v>208</v>
      </c>
      <c r="E54" s="12" t="s">
        <v>226</v>
      </c>
      <c r="F54" s="11" t="s">
        <v>134</v>
      </c>
      <c r="G54" s="13"/>
      <c r="H54" s="13"/>
      <c r="I54" s="13"/>
      <c r="J54" s="13"/>
      <c r="K54" s="11" t="s">
        <v>150</v>
      </c>
      <c r="L54" s="12" t="s">
        <v>151</v>
      </c>
      <c r="M54" s="11"/>
      <c r="N54" s="11" t="s">
        <v>99</v>
      </c>
      <c r="O54" s="11" t="s">
        <v>64</v>
      </c>
      <c r="P54" s="12" t="s">
        <v>210</v>
      </c>
    </row>
    <row r="55" customFormat="false" ht="31.3" hidden="false" customHeight="false" outlineLevel="0" collapsed="false">
      <c r="C55" s="11" t="s">
        <v>227</v>
      </c>
      <c r="D55" s="11" t="s">
        <v>208</v>
      </c>
      <c r="E55" s="12" t="s">
        <v>228</v>
      </c>
      <c r="F55" s="11" t="s">
        <v>134</v>
      </c>
      <c r="G55" s="13"/>
      <c r="H55" s="13"/>
      <c r="I55" s="13"/>
      <c r="J55" s="13"/>
      <c r="K55" s="11" t="s">
        <v>150</v>
      </c>
      <c r="L55" s="12" t="s">
        <v>151</v>
      </c>
      <c r="M55" s="11"/>
      <c r="N55" s="11" t="s">
        <v>99</v>
      </c>
      <c r="O55" s="11" t="s">
        <v>64</v>
      </c>
      <c r="P55" s="12" t="s">
        <v>210</v>
      </c>
    </row>
    <row r="56" customFormat="false" ht="31.3" hidden="false" customHeight="false" outlineLevel="0" collapsed="false">
      <c r="C56" s="11" t="s">
        <v>229</v>
      </c>
      <c r="D56" s="11" t="s">
        <v>208</v>
      </c>
      <c r="E56" s="12" t="s">
        <v>230</v>
      </c>
      <c r="F56" s="11" t="s">
        <v>134</v>
      </c>
      <c r="G56" s="13"/>
      <c r="H56" s="13"/>
      <c r="I56" s="13"/>
      <c r="J56" s="13"/>
      <c r="K56" s="11" t="s">
        <v>150</v>
      </c>
      <c r="L56" s="12" t="s">
        <v>151</v>
      </c>
      <c r="M56" s="11"/>
      <c r="N56" s="11" t="s">
        <v>99</v>
      </c>
      <c r="O56" s="11" t="s">
        <v>64</v>
      </c>
      <c r="P56" s="12" t="s">
        <v>210</v>
      </c>
    </row>
    <row r="57" customFormat="false" ht="31.3" hidden="false" customHeight="false" outlineLevel="0" collapsed="false">
      <c r="C57" s="11" t="s">
        <v>231</v>
      </c>
      <c r="D57" s="11" t="s">
        <v>208</v>
      </c>
      <c r="E57" s="12" t="s">
        <v>232</v>
      </c>
      <c r="F57" s="11" t="s">
        <v>134</v>
      </c>
      <c r="G57" s="13"/>
      <c r="H57" s="13"/>
      <c r="I57" s="13"/>
      <c r="J57" s="13"/>
      <c r="K57" s="11" t="s">
        <v>150</v>
      </c>
      <c r="L57" s="12" t="s">
        <v>151</v>
      </c>
      <c r="M57" s="11"/>
      <c r="N57" s="11" t="s">
        <v>99</v>
      </c>
      <c r="O57" s="11" t="s">
        <v>64</v>
      </c>
      <c r="P57" s="12" t="s">
        <v>210</v>
      </c>
    </row>
    <row r="58" customFormat="false" ht="31.3" hidden="false" customHeight="false" outlineLevel="0" collapsed="false">
      <c r="C58" s="11" t="s">
        <v>233</v>
      </c>
      <c r="D58" s="11" t="s">
        <v>208</v>
      </c>
      <c r="E58" s="12" t="s">
        <v>234</v>
      </c>
      <c r="F58" s="11" t="s">
        <v>134</v>
      </c>
      <c r="G58" s="13"/>
      <c r="H58" s="13"/>
      <c r="I58" s="13"/>
      <c r="J58" s="13"/>
      <c r="K58" s="11" t="s">
        <v>150</v>
      </c>
      <c r="L58" s="12" t="s">
        <v>151</v>
      </c>
      <c r="M58" s="11"/>
      <c r="N58" s="11" t="s">
        <v>99</v>
      </c>
      <c r="O58" s="11" t="s">
        <v>64</v>
      </c>
      <c r="P58" s="12" t="s">
        <v>210</v>
      </c>
    </row>
    <row r="59" customFormat="false" ht="31.3" hidden="false" customHeight="false" outlineLevel="0" collapsed="false">
      <c r="C59" s="11" t="s">
        <v>235</v>
      </c>
      <c r="D59" s="11" t="s">
        <v>208</v>
      </c>
      <c r="E59" s="12" t="s">
        <v>236</v>
      </c>
      <c r="F59" s="11" t="s">
        <v>134</v>
      </c>
      <c r="G59" s="13"/>
      <c r="H59" s="13"/>
      <c r="I59" s="13"/>
      <c r="J59" s="13"/>
      <c r="K59" s="11" t="s">
        <v>150</v>
      </c>
      <c r="L59" s="12" t="s">
        <v>151</v>
      </c>
      <c r="M59" s="11"/>
      <c r="N59" s="11" t="s">
        <v>99</v>
      </c>
      <c r="O59" s="11" t="s">
        <v>64</v>
      </c>
      <c r="P59" s="12" t="s">
        <v>210</v>
      </c>
    </row>
    <row r="61" customFormat="false" ht="15" hidden="false" customHeight="false" outlineLevel="0" collapsed="false">
      <c r="C61" s="4" t="s">
        <v>237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6.4" hidden="false" customHeight="false" outlineLevel="0" collapsed="false">
      <c r="C62" s="5" t="s">
        <v>79</v>
      </c>
      <c r="D62" s="5" t="s">
        <v>80</v>
      </c>
      <c r="E62" s="5" t="s">
        <v>81</v>
      </c>
      <c r="F62" s="5" t="s">
        <v>82</v>
      </c>
      <c r="G62" s="5" t="s">
        <v>83</v>
      </c>
      <c r="H62" s="5" t="s">
        <v>84</v>
      </c>
      <c r="I62" s="5" t="s">
        <v>85</v>
      </c>
      <c r="J62" s="5" t="s">
        <v>86</v>
      </c>
      <c r="K62" s="5" t="s">
        <v>87</v>
      </c>
      <c r="L62" s="5" t="s">
        <v>88</v>
      </c>
      <c r="M62" s="5" t="s">
        <v>89</v>
      </c>
      <c r="N62" s="5" t="s">
        <v>90</v>
      </c>
      <c r="O62" s="5" t="s">
        <v>91</v>
      </c>
      <c r="P62" s="5" t="s">
        <v>92</v>
      </c>
    </row>
    <row r="63" customFormat="false" ht="31.3" hidden="false" customHeight="false" outlineLevel="0" collapsed="false">
      <c r="C63" s="11" t="s">
        <v>238</v>
      </c>
      <c r="D63" s="11" t="s">
        <v>239</v>
      </c>
      <c r="E63" s="12" t="s">
        <v>240</v>
      </c>
      <c r="F63" s="11" t="s">
        <v>241</v>
      </c>
      <c r="G63" s="15"/>
      <c r="H63" s="15"/>
      <c r="I63" s="15"/>
      <c r="J63" s="15"/>
      <c r="K63" s="11" t="s">
        <v>150</v>
      </c>
      <c r="L63" s="12" t="s">
        <v>151</v>
      </c>
      <c r="M63" s="11"/>
      <c r="N63" s="11" t="s">
        <v>99</v>
      </c>
      <c r="O63" s="11" t="s">
        <v>67</v>
      </c>
      <c r="P63" s="12" t="s">
        <v>242</v>
      </c>
    </row>
    <row r="64" customFormat="false" ht="31.3" hidden="false" customHeight="false" outlineLevel="0" collapsed="false">
      <c r="C64" s="11" t="s">
        <v>243</v>
      </c>
      <c r="D64" s="11" t="s">
        <v>244</v>
      </c>
      <c r="E64" s="12" t="s">
        <v>245</v>
      </c>
      <c r="F64" s="11" t="s">
        <v>138</v>
      </c>
      <c r="G64" s="15"/>
      <c r="H64" s="15"/>
      <c r="I64" s="15"/>
      <c r="J64" s="15"/>
      <c r="K64" s="11" t="s">
        <v>150</v>
      </c>
      <c r="L64" s="12" t="s">
        <v>151</v>
      </c>
      <c r="M64" s="11"/>
      <c r="N64" s="11" t="s">
        <v>99</v>
      </c>
      <c r="O64" s="11" t="s">
        <v>67</v>
      </c>
      <c r="P64" s="12" t="s">
        <v>246</v>
      </c>
    </row>
    <row r="65" customFormat="false" ht="31.3" hidden="false" customHeight="false" outlineLevel="0" collapsed="false">
      <c r="C65" s="11" t="s">
        <v>247</v>
      </c>
      <c r="D65" s="11" t="s">
        <v>239</v>
      </c>
      <c r="E65" s="12" t="s">
        <v>248</v>
      </c>
      <c r="F65" s="11" t="s">
        <v>241</v>
      </c>
      <c r="G65" s="15"/>
      <c r="H65" s="15"/>
      <c r="I65" s="15"/>
      <c r="J65" s="15"/>
      <c r="K65" s="11" t="s">
        <v>150</v>
      </c>
      <c r="L65" s="12" t="s">
        <v>151</v>
      </c>
      <c r="M65" s="11"/>
      <c r="N65" s="11" t="s">
        <v>99</v>
      </c>
      <c r="O65" s="11" t="s">
        <v>67</v>
      </c>
      <c r="P65" s="12" t="s">
        <v>242</v>
      </c>
    </row>
    <row r="66" customFormat="false" ht="31.3" hidden="false" customHeight="false" outlineLevel="0" collapsed="false">
      <c r="C66" s="11" t="s">
        <v>249</v>
      </c>
      <c r="D66" s="11" t="s">
        <v>244</v>
      </c>
      <c r="E66" s="12" t="s">
        <v>250</v>
      </c>
      <c r="F66" s="11" t="s">
        <v>138</v>
      </c>
      <c r="G66" s="15"/>
      <c r="H66" s="15"/>
      <c r="I66" s="15"/>
      <c r="J66" s="15"/>
      <c r="K66" s="11" t="s">
        <v>150</v>
      </c>
      <c r="L66" s="12" t="s">
        <v>151</v>
      </c>
      <c r="M66" s="11"/>
      <c r="N66" s="11" t="s">
        <v>99</v>
      </c>
      <c r="O66" s="11" t="s">
        <v>67</v>
      </c>
      <c r="P66" s="12" t="s">
        <v>246</v>
      </c>
    </row>
    <row r="67" customFormat="false" ht="31.3" hidden="false" customHeight="false" outlineLevel="0" collapsed="false">
      <c r="C67" s="11" t="s">
        <v>251</v>
      </c>
      <c r="D67" s="11" t="s">
        <v>239</v>
      </c>
      <c r="E67" s="12" t="s">
        <v>252</v>
      </c>
      <c r="F67" s="11" t="s">
        <v>241</v>
      </c>
      <c r="G67" s="15"/>
      <c r="H67" s="15"/>
      <c r="I67" s="15"/>
      <c r="J67" s="15"/>
      <c r="K67" s="11" t="s">
        <v>150</v>
      </c>
      <c r="L67" s="12" t="s">
        <v>151</v>
      </c>
      <c r="M67" s="11"/>
      <c r="N67" s="11" t="s">
        <v>99</v>
      </c>
      <c r="O67" s="11" t="s">
        <v>67</v>
      </c>
      <c r="P67" s="12" t="s">
        <v>242</v>
      </c>
    </row>
    <row r="68" customFormat="false" ht="31.3" hidden="false" customHeight="false" outlineLevel="0" collapsed="false">
      <c r="C68" s="11" t="s">
        <v>253</v>
      </c>
      <c r="D68" s="11" t="s">
        <v>244</v>
      </c>
      <c r="E68" s="12" t="s">
        <v>254</v>
      </c>
      <c r="F68" s="11" t="s">
        <v>138</v>
      </c>
      <c r="G68" s="15"/>
      <c r="H68" s="15"/>
      <c r="I68" s="15"/>
      <c r="J68" s="15"/>
      <c r="K68" s="11" t="s">
        <v>150</v>
      </c>
      <c r="L68" s="12" t="s">
        <v>151</v>
      </c>
      <c r="M68" s="11"/>
      <c r="N68" s="11" t="s">
        <v>99</v>
      </c>
      <c r="O68" s="11" t="s">
        <v>67</v>
      </c>
      <c r="P68" s="12" t="s">
        <v>246</v>
      </c>
    </row>
    <row r="69" customFormat="false" ht="31.3" hidden="false" customHeight="false" outlineLevel="0" collapsed="false">
      <c r="C69" s="11" t="s">
        <v>255</v>
      </c>
      <c r="D69" s="11" t="s">
        <v>239</v>
      </c>
      <c r="E69" s="12" t="s">
        <v>256</v>
      </c>
      <c r="F69" s="11" t="s">
        <v>241</v>
      </c>
      <c r="G69" s="15"/>
      <c r="H69" s="15"/>
      <c r="I69" s="15"/>
      <c r="J69" s="15"/>
      <c r="K69" s="11" t="s">
        <v>150</v>
      </c>
      <c r="L69" s="12" t="s">
        <v>151</v>
      </c>
      <c r="M69" s="11"/>
      <c r="N69" s="11" t="s">
        <v>99</v>
      </c>
      <c r="O69" s="11" t="s">
        <v>67</v>
      </c>
      <c r="P69" s="12" t="s">
        <v>242</v>
      </c>
    </row>
    <row r="70" customFormat="false" ht="31.3" hidden="false" customHeight="false" outlineLevel="0" collapsed="false">
      <c r="C70" s="11" t="s">
        <v>257</v>
      </c>
      <c r="D70" s="11" t="s">
        <v>244</v>
      </c>
      <c r="E70" s="12" t="s">
        <v>258</v>
      </c>
      <c r="F70" s="11" t="s">
        <v>138</v>
      </c>
      <c r="G70" s="15"/>
      <c r="H70" s="15"/>
      <c r="I70" s="15"/>
      <c r="J70" s="15"/>
      <c r="K70" s="11" t="s">
        <v>150</v>
      </c>
      <c r="L70" s="12" t="s">
        <v>151</v>
      </c>
      <c r="M70" s="11"/>
      <c r="N70" s="11" t="s">
        <v>99</v>
      </c>
      <c r="O70" s="11" t="s">
        <v>67</v>
      </c>
      <c r="P70" s="12" t="s">
        <v>246</v>
      </c>
    </row>
    <row r="71" customFormat="false" ht="31.3" hidden="false" customHeight="false" outlineLevel="0" collapsed="false">
      <c r="C71" s="11" t="s">
        <v>259</v>
      </c>
      <c r="D71" s="11" t="s">
        <v>239</v>
      </c>
      <c r="E71" s="12" t="s">
        <v>260</v>
      </c>
      <c r="F71" s="11" t="s">
        <v>241</v>
      </c>
      <c r="G71" s="15"/>
      <c r="H71" s="15"/>
      <c r="I71" s="15"/>
      <c r="J71" s="15"/>
      <c r="K71" s="11" t="s">
        <v>150</v>
      </c>
      <c r="L71" s="12" t="s">
        <v>151</v>
      </c>
      <c r="M71" s="11"/>
      <c r="N71" s="11" t="s">
        <v>99</v>
      </c>
      <c r="O71" s="11" t="s">
        <v>67</v>
      </c>
      <c r="P71" s="12" t="s">
        <v>242</v>
      </c>
    </row>
    <row r="72" customFormat="false" ht="31.3" hidden="false" customHeight="false" outlineLevel="0" collapsed="false">
      <c r="C72" s="11" t="s">
        <v>261</v>
      </c>
      <c r="D72" s="11" t="s">
        <v>244</v>
      </c>
      <c r="E72" s="12" t="s">
        <v>262</v>
      </c>
      <c r="F72" s="11" t="s">
        <v>138</v>
      </c>
      <c r="G72" s="15"/>
      <c r="H72" s="15"/>
      <c r="I72" s="15"/>
      <c r="J72" s="15"/>
      <c r="K72" s="11" t="s">
        <v>150</v>
      </c>
      <c r="L72" s="12" t="s">
        <v>151</v>
      </c>
      <c r="M72" s="11"/>
      <c r="N72" s="11" t="s">
        <v>99</v>
      </c>
      <c r="O72" s="11" t="s">
        <v>67</v>
      </c>
      <c r="P72" s="12" t="s">
        <v>246</v>
      </c>
    </row>
    <row r="73" customFormat="false" ht="31.3" hidden="false" customHeight="false" outlineLevel="0" collapsed="false">
      <c r="C73" s="11" t="s">
        <v>263</v>
      </c>
      <c r="D73" s="11" t="s">
        <v>239</v>
      </c>
      <c r="E73" s="12" t="s">
        <v>264</v>
      </c>
      <c r="F73" s="11" t="s">
        <v>241</v>
      </c>
      <c r="G73" s="15"/>
      <c r="H73" s="15"/>
      <c r="I73" s="15"/>
      <c r="J73" s="15"/>
      <c r="K73" s="11" t="s">
        <v>150</v>
      </c>
      <c r="L73" s="12" t="s">
        <v>151</v>
      </c>
      <c r="M73" s="11"/>
      <c r="N73" s="11" t="s">
        <v>99</v>
      </c>
      <c r="O73" s="11" t="s">
        <v>67</v>
      </c>
      <c r="P73" s="12" t="s">
        <v>242</v>
      </c>
    </row>
    <row r="74" customFormat="false" ht="31.3" hidden="false" customHeight="false" outlineLevel="0" collapsed="false">
      <c r="C74" s="11" t="s">
        <v>265</v>
      </c>
      <c r="D74" s="11" t="s">
        <v>244</v>
      </c>
      <c r="E74" s="12" t="s">
        <v>266</v>
      </c>
      <c r="F74" s="11" t="s">
        <v>138</v>
      </c>
      <c r="G74" s="15"/>
      <c r="H74" s="15"/>
      <c r="I74" s="15"/>
      <c r="J74" s="15"/>
      <c r="K74" s="11" t="s">
        <v>150</v>
      </c>
      <c r="L74" s="12" t="s">
        <v>151</v>
      </c>
      <c r="M74" s="11"/>
      <c r="N74" s="11" t="s">
        <v>99</v>
      </c>
      <c r="O74" s="11" t="s">
        <v>67</v>
      </c>
      <c r="P74" s="12" t="s">
        <v>246</v>
      </c>
    </row>
    <row r="75" customFormat="false" ht="31.3" hidden="false" customHeight="false" outlineLevel="0" collapsed="false">
      <c r="C75" s="11" t="s">
        <v>267</v>
      </c>
      <c r="D75" s="11" t="s">
        <v>239</v>
      </c>
      <c r="E75" s="12" t="s">
        <v>268</v>
      </c>
      <c r="F75" s="11" t="s">
        <v>241</v>
      </c>
      <c r="G75" s="15"/>
      <c r="H75" s="15"/>
      <c r="I75" s="15"/>
      <c r="J75" s="15"/>
      <c r="K75" s="11" t="s">
        <v>150</v>
      </c>
      <c r="L75" s="12" t="s">
        <v>151</v>
      </c>
      <c r="M75" s="11"/>
      <c r="N75" s="11" t="s">
        <v>99</v>
      </c>
      <c r="O75" s="11" t="s">
        <v>67</v>
      </c>
      <c r="P75" s="12" t="s">
        <v>242</v>
      </c>
    </row>
    <row r="76" customFormat="false" ht="31.3" hidden="false" customHeight="false" outlineLevel="0" collapsed="false">
      <c r="C76" s="11" t="s">
        <v>269</v>
      </c>
      <c r="D76" s="11" t="s">
        <v>244</v>
      </c>
      <c r="E76" s="12" t="s">
        <v>270</v>
      </c>
      <c r="F76" s="11" t="s">
        <v>138</v>
      </c>
      <c r="G76" s="15"/>
      <c r="H76" s="15"/>
      <c r="I76" s="15"/>
      <c r="J76" s="15"/>
      <c r="K76" s="11" t="s">
        <v>150</v>
      </c>
      <c r="L76" s="12" t="s">
        <v>151</v>
      </c>
      <c r="M76" s="11"/>
      <c r="N76" s="11" t="s">
        <v>99</v>
      </c>
      <c r="O76" s="11" t="s">
        <v>67</v>
      </c>
      <c r="P76" s="12" t="s">
        <v>246</v>
      </c>
    </row>
    <row r="77" customFormat="false" ht="31.3" hidden="false" customHeight="false" outlineLevel="0" collapsed="false">
      <c r="C77" s="11" t="s">
        <v>271</v>
      </c>
      <c r="D77" s="11" t="s">
        <v>239</v>
      </c>
      <c r="E77" s="12" t="s">
        <v>272</v>
      </c>
      <c r="F77" s="11" t="s">
        <v>241</v>
      </c>
      <c r="G77" s="15"/>
      <c r="H77" s="15"/>
      <c r="I77" s="15"/>
      <c r="J77" s="15"/>
      <c r="K77" s="11" t="s">
        <v>150</v>
      </c>
      <c r="L77" s="12" t="s">
        <v>151</v>
      </c>
      <c r="M77" s="11"/>
      <c r="N77" s="11" t="s">
        <v>99</v>
      </c>
      <c r="O77" s="11" t="s">
        <v>67</v>
      </c>
      <c r="P77" s="12" t="s">
        <v>242</v>
      </c>
    </row>
    <row r="78" customFormat="false" ht="31.3" hidden="false" customHeight="false" outlineLevel="0" collapsed="false">
      <c r="C78" s="11" t="s">
        <v>273</v>
      </c>
      <c r="D78" s="11" t="s">
        <v>244</v>
      </c>
      <c r="E78" s="12" t="s">
        <v>274</v>
      </c>
      <c r="F78" s="11" t="s">
        <v>138</v>
      </c>
      <c r="G78" s="15"/>
      <c r="H78" s="15"/>
      <c r="I78" s="15"/>
      <c r="J78" s="15"/>
      <c r="K78" s="11" t="s">
        <v>150</v>
      </c>
      <c r="L78" s="12" t="s">
        <v>151</v>
      </c>
      <c r="M78" s="11"/>
      <c r="N78" s="11" t="s">
        <v>99</v>
      </c>
      <c r="O78" s="11" t="s">
        <v>67</v>
      </c>
      <c r="P78" s="12" t="s">
        <v>246</v>
      </c>
    </row>
    <row r="79" customFormat="false" ht="31.3" hidden="false" customHeight="false" outlineLevel="0" collapsed="false">
      <c r="C79" s="11" t="s">
        <v>275</v>
      </c>
      <c r="D79" s="11" t="s">
        <v>239</v>
      </c>
      <c r="E79" s="12" t="s">
        <v>276</v>
      </c>
      <c r="F79" s="11" t="s">
        <v>241</v>
      </c>
      <c r="G79" s="15"/>
      <c r="H79" s="15"/>
      <c r="I79" s="15"/>
      <c r="J79" s="15"/>
      <c r="K79" s="11" t="s">
        <v>150</v>
      </c>
      <c r="L79" s="12" t="s">
        <v>151</v>
      </c>
      <c r="M79" s="11"/>
      <c r="N79" s="11" t="s">
        <v>99</v>
      </c>
      <c r="O79" s="11" t="s">
        <v>67</v>
      </c>
      <c r="P79" s="12" t="s">
        <v>242</v>
      </c>
    </row>
    <row r="80" customFormat="false" ht="31.3" hidden="false" customHeight="false" outlineLevel="0" collapsed="false">
      <c r="C80" s="11" t="s">
        <v>277</v>
      </c>
      <c r="D80" s="11" t="s">
        <v>244</v>
      </c>
      <c r="E80" s="12" t="s">
        <v>278</v>
      </c>
      <c r="F80" s="11" t="s">
        <v>138</v>
      </c>
      <c r="G80" s="15"/>
      <c r="H80" s="15"/>
      <c r="I80" s="15"/>
      <c r="J80" s="15"/>
      <c r="K80" s="11" t="s">
        <v>150</v>
      </c>
      <c r="L80" s="12" t="s">
        <v>151</v>
      </c>
      <c r="M80" s="11"/>
      <c r="N80" s="11" t="s">
        <v>99</v>
      </c>
      <c r="O80" s="11" t="s">
        <v>67</v>
      </c>
      <c r="P80" s="12" t="s">
        <v>246</v>
      </c>
    </row>
    <row r="81" customFormat="false" ht="31.3" hidden="false" customHeight="false" outlineLevel="0" collapsed="false">
      <c r="C81" s="11" t="s">
        <v>279</v>
      </c>
      <c r="D81" s="11" t="s">
        <v>239</v>
      </c>
      <c r="E81" s="12" t="s">
        <v>280</v>
      </c>
      <c r="F81" s="11" t="s">
        <v>241</v>
      </c>
      <c r="G81" s="15"/>
      <c r="H81" s="15"/>
      <c r="I81" s="15"/>
      <c r="J81" s="15"/>
      <c r="K81" s="11" t="s">
        <v>150</v>
      </c>
      <c r="L81" s="12" t="s">
        <v>151</v>
      </c>
      <c r="M81" s="11"/>
      <c r="N81" s="11" t="s">
        <v>99</v>
      </c>
      <c r="O81" s="11" t="s">
        <v>67</v>
      </c>
      <c r="P81" s="12" t="s">
        <v>242</v>
      </c>
    </row>
    <row r="82" customFormat="false" ht="31.3" hidden="false" customHeight="false" outlineLevel="0" collapsed="false">
      <c r="C82" s="11" t="s">
        <v>281</v>
      </c>
      <c r="D82" s="11" t="s">
        <v>244</v>
      </c>
      <c r="E82" s="12" t="s">
        <v>282</v>
      </c>
      <c r="F82" s="11" t="s">
        <v>138</v>
      </c>
      <c r="G82" s="15"/>
      <c r="H82" s="15"/>
      <c r="I82" s="15"/>
      <c r="J82" s="15"/>
      <c r="K82" s="11" t="s">
        <v>150</v>
      </c>
      <c r="L82" s="12" t="s">
        <v>151</v>
      </c>
      <c r="M82" s="11"/>
      <c r="N82" s="11" t="s">
        <v>99</v>
      </c>
      <c r="O82" s="11" t="s">
        <v>67</v>
      </c>
      <c r="P82" s="12" t="s">
        <v>246</v>
      </c>
    </row>
    <row r="83" customFormat="false" ht="31.3" hidden="false" customHeight="false" outlineLevel="0" collapsed="false">
      <c r="C83" s="11" t="s">
        <v>283</v>
      </c>
      <c r="D83" s="11" t="s">
        <v>239</v>
      </c>
      <c r="E83" s="12" t="s">
        <v>284</v>
      </c>
      <c r="F83" s="11" t="s">
        <v>241</v>
      </c>
      <c r="G83" s="15"/>
      <c r="H83" s="15"/>
      <c r="I83" s="15"/>
      <c r="J83" s="15"/>
      <c r="K83" s="11" t="s">
        <v>150</v>
      </c>
      <c r="L83" s="12" t="s">
        <v>151</v>
      </c>
      <c r="M83" s="11"/>
      <c r="N83" s="11" t="s">
        <v>99</v>
      </c>
      <c r="O83" s="11" t="s">
        <v>67</v>
      </c>
      <c r="P83" s="12" t="s">
        <v>242</v>
      </c>
    </row>
    <row r="84" customFormat="false" ht="31.3" hidden="false" customHeight="false" outlineLevel="0" collapsed="false">
      <c r="C84" s="11" t="s">
        <v>285</v>
      </c>
      <c r="D84" s="11" t="s">
        <v>244</v>
      </c>
      <c r="E84" s="12" t="s">
        <v>286</v>
      </c>
      <c r="F84" s="11" t="s">
        <v>138</v>
      </c>
      <c r="G84" s="15"/>
      <c r="H84" s="15"/>
      <c r="I84" s="15"/>
      <c r="J84" s="15"/>
      <c r="K84" s="11" t="s">
        <v>150</v>
      </c>
      <c r="L84" s="12" t="s">
        <v>151</v>
      </c>
      <c r="M84" s="11"/>
      <c r="N84" s="11" t="s">
        <v>99</v>
      </c>
      <c r="O84" s="11" t="s">
        <v>67</v>
      </c>
      <c r="P84" s="12" t="s">
        <v>246</v>
      </c>
    </row>
    <row r="85" customFormat="false" ht="31.3" hidden="false" customHeight="false" outlineLevel="0" collapsed="false">
      <c r="C85" s="11" t="s">
        <v>287</v>
      </c>
      <c r="D85" s="11" t="s">
        <v>239</v>
      </c>
      <c r="E85" s="12" t="s">
        <v>288</v>
      </c>
      <c r="F85" s="11" t="s">
        <v>241</v>
      </c>
      <c r="G85" s="15"/>
      <c r="H85" s="15"/>
      <c r="I85" s="15"/>
      <c r="J85" s="15"/>
      <c r="K85" s="11" t="s">
        <v>150</v>
      </c>
      <c r="L85" s="12" t="s">
        <v>151</v>
      </c>
      <c r="M85" s="11"/>
      <c r="N85" s="11" t="s">
        <v>99</v>
      </c>
      <c r="O85" s="11" t="s">
        <v>67</v>
      </c>
      <c r="P85" s="12" t="s">
        <v>242</v>
      </c>
    </row>
    <row r="86" customFormat="false" ht="31.3" hidden="false" customHeight="false" outlineLevel="0" collapsed="false">
      <c r="C86" s="11" t="s">
        <v>289</v>
      </c>
      <c r="D86" s="11" t="s">
        <v>244</v>
      </c>
      <c r="E86" s="12" t="s">
        <v>290</v>
      </c>
      <c r="F86" s="11" t="s">
        <v>138</v>
      </c>
      <c r="G86" s="15"/>
      <c r="H86" s="15"/>
      <c r="I86" s="15"/>
      <c r="J86" s="15"/>
      <c r="K86" s="11" t="s">
        <v>150</v>
      </c>
      <c r="L86" s="12" t="s">
        <v>151</v>
      </c>
      <c r="M86" s="11"/>
      <c r="N86" s="11" t="s">
        <v>99</v>
      </c>
      <c r="O86" s="11" t="s">
        <v>67</v>
      </c>
      <c r="P86" s="12" t="s">
        <v>246</v>
      </c>
    </row>
    <row r="87" customFormat="false" ht="31.3" hidden="false" customHeight="false" outlineLevel="0" collapsed="false">
      <c r="C87" s="11" t="s">
        <v>291</v>
      </c>
      <c r="D87" s="11" t="s">
        <v>239</v>
      </c>
      <c r="E87" s="12" t="s">
        <v>292</v>
      </c>
      <c r="F87" s="11" t="s">
        <v>241</v>
      </c>
      <c r="G87" s="15"/>
      <c r="H87" s="15"/>
      <c r="I87" s="15"/>
      <c r="J87" s="15"/>
      <c r="K87" s="11" t="s">
        <v>150</v>
      </c>
      <c r="L87" s="12" t="s">
        <v>151</v>
      </c>
      <c r="M87" s="11"/>
      <c r="N87" s="11" t="s">
        <v>99</v>
      </c>
      <c r="O87" s="11" t="s">
        <v>67</v>
      </c>
      <c r="P87" s="12" t="s">
        <v>242</v>
      </c>
    </row>
    <row r="88" customFormat="false" ht="31.3" hidden="false" customHeight="false" outlineLevel="0" collapsed="false">
      <c r="C88" s="11" t="s">
        <v>293</v>
      </c>
      <c r="D88" s="11" t="s">
        <v>244</v>
      </c>
      <c r="E88" s="12" t="s">
        <v>294</v>
      </c>
      <c r="F88" s="11" t="s">
        <v>138</v>
      </c>
      <c r="G88" s="15"/>
      <c r="H88" s="15"/>
      <c r="I88" s="15"/>
      <c r="J88" s="15"/>
      <c r="K88" s="11" t="s">
        <v>150</v>
      </c>
      <c r="L88" s="12" t="s">
        <v>151</v>
      </c>
      <c r="M88" s="11"/>
      <c r="N88" s="11" t="s">
        <v>99</v>
      </c>
      <c r="O88" s="11" t="s">
        <v>67</v>
      </c>
      <c r="P88" s="12" t="s">
        <v>246</v>
      </c>
    </row>
    <row r="89" customFormat="false" ht="31.3" hidden="false" customHeight="false" outlineLevel="0" collapsed="false">
      <c r="C89" s="11" t="s">
        <v>295</v>
      </c>
      <c r="D89" s="11" t="s">
        <v>239</v>
      </c>
      <c r="E89" s="12" t="s">
        <v>296</v>
      </c>
      <c r="F89" s="11" t="s">
        <v>241</v>
      </c>
      <c r="G89" s="15"/>
      <c r="H89" s="15"/>
      <c r="I89" s="15"/>
      <c r="J89" s="15"/>
      <c r="K89" s="11" t="s">
        <v>150</v>
      </c>
      <c r="L89" s="12" t="s">
        <v>151</v>
      </c>
      <c r="M89" s="11"/>
      <c r="N89" s="11" t="s">
        <v>99</v>
      </c>
      <c r="O89" s="11" t="s">
        <v>67</v>
      </c>
      <c r="P89" s="12" t="s">
        <v>242</v>
      </c>
    </row>
    <row r="90" customFormat="false" ht="31.3" hidden="false" customHeight="false" outlineLevel="0" collapsed="false">
      <c r="C90" s="11" t="s">
        <v>297</v>
      </c>
      <c r="D90" s="11" t="s">
        <v>244</v>
      </c>
      <c r="E90" s="12" t="s">
        <v>298</v>
      </c>
      <c r="F90" s="11" t="s">
        <v>138</v>
      </c>
      <c r="G90" s="15"/>
      <c r="H90" s="15"/>
      <c r="I90" s="15"/>
      <c r="J90" s="15"/>
      <c r="K90" s="11" t="s">
        <v>150</v>
      </c>
      <c r="L90" s="12" t="s">
        <v>151</v>
      </c>
      <c r="M90" s="11"/>
      <c r="N90" s="11" t="s">
        <v>99</v>
      </c>
      <c r="O90" s="11" t="s">
        <v>67</v>
      </c>
      <c r="P90" s="12" t="s">
        <v>246</v>
      </c>
    </row>
    <row r="91" customFormat="false" ht="31.3" hidden="false" customHeight="false" outlineLevel="0" collapsed="false">
      <c r="C91" s="11" t="s">
        <v>299</v>
      </c>
      <c r="D91" s="11" t="s">
        <v>239</v>
      </c>
      <c r="E91" s="12" t="s">
        <v>300</v>
      </c>
      <c r="F91" s="11" t="s">
        <v>241</v>
      </c>
      <c r="G91" s="15"/>
      <c r="H91" s="15"/>
      <c r="I91" s="15"/>
      <c r="J91" s="15"/>
      <c r="K91" s="11" t="s">
        <v>150</v>
      </c>
      <c r="L91" s="12" t="s">
        <v>151</v>
      </c>
      <c r="M91" s="11"/>
      <c r="N91" s="11" t="s">
        <v>99</v>
      </c>
      <c r="O91" s="11" t="s">
        <v>67</v>
      </c>
      <c r="P91" s="12" t="s">
        <v>242</v>
      </c>
    </row>
    <row r="92" customFormat="false" ht="31.3" hidden="false" customHeight="false" outlineLevel="0" collapsed="false">
      <c r="C92" s="11" t="s">
        <v>301</v>
      </c>
      <c r="D92" s="11" t="s">
        <v>244</v>
      </c>
      <c r="E92" s="12" t="s">
        <v>302</v>
      </c>
      <c r="F92" s="11" t="s">
        <v>138</v>
      </c>
      <c r="G92" s="15"/>
      <c r="H92" s="15"/>
      <c r="I92" s="15"/>
      <c r="J92" s="15"/>
      <c r="K92" s="11" t="s">
        <v>150</v>
      </c>
      <c r="L92" s="12" t="s">
        <v>151</v>
      </c>
      <c r="M92" s="11"/>
      <c r="N92" s="11" t="s">
        <v>99</v>
      </c>
      <c r="O92" s="11" t="s">
        <v>67</v>
      </c>
      <c r="P92" s="12" t="s">
        <v>246</v>
      </c>
    </row>
    <row r="93" customFormat="false" ht="31.3" hidden="false" customHeight="false" outlineLevel="0" collapsed="false">
      <c r="C93" s="11" t="s">
        <v>303</v>
      </c>
      <c r="D93" s="11" t="s">
        <v>239</v>
      </c>
      <c r="E93" s="12" t="s">
        <v>304</v>
      </c>
      <c r="F93" s="11" t="s">
        <v>241</v>
      </c>
      <c r="G93" s="15"/>
      <c r="H93" s="15"/>
      <c r="I93" s="15"/>
      <c r="J93" s="15"/>
      <c r="K93" s="11" t="s">
        <v>150</v>
      </c>
      <c r="L93" s="12" t="s">
        <v>151</v>
      </c>
      <c r="M93" s="11"/>
      <c r="N93" s="11" t="s">
        <v>99</v>
      </c>
      <c r="O93" s="11" t="s">
        <v>67</v>
      </c>
      <c r="P93" s="12" t="s">
        <v>242</v>
      </c>
    </row>
    <row r="94" customFormat="false" ht="31.3" hidden="false" customHeight="false" outlineLevel="0" collapsed="false">
      <c r="C94" s="11" t="s">
        <v>305</v>
      </c>
      <c r="D94" s="11" t="s">
        <v>244</v>
      </c>
      <c r="E94" s="12" t="s">
        <v>306</v>
      </c>
      <c r="F94" s="11" t="s">
        <v>138</v>
      </c>
      <c r="G94" s="15"/>
      <c r="H94" s="15"/>
      <c r="I94" s="15"/>
      <c r="J94" s="15"/>
      <c r="K94" s="11" t="s">
        <v>150</v>
      </c>
      <c r="L94" s="12" t="s">
        <v>151</v>
      </c>
      <c r="M94" s="11"/>
      <c r="N94" s="11" t="s">
        <v>99</v>
      </c>
      <c r="O94" s="11" t="s">
        <v>67</v>
      </c>
      <c r="P94" s="12" t="s">
        <v>246</v>
      </c>
    </row>
    <row r="95" customFormat="false" ht="31.3" hidden="false" customHeight="false" outlineLevel="0" collapsed="false">
      <c r="C95" s="11" t="s">
        <v>307</v>
      </c>
      <c r="D95" s="11" t="s">
        <v>239</v>
      </c>
      <c r="E95" s="12" t="s">
        <v>308</v>
      </c>
      <c r="F95" s="11" t="s">
        <v>241</v>
      </c>
      <c r="G95" s="15"/>
      <c r="H95" s="15"/>
      <c r="I95" s="15"/>
      <c r="J95" s="15"/>
      <c r="K95" s="11" t="s">
        <v>150</v>
      </c>
      <c r="L95" s="12" t="s">
        <v>151</v>
      </c>
      <c r="M95" s="11"/>
      <c r="N95" s="11" t="s">
        <v>99</v>
      </c>
      <c r="O95" s="11" t="s">
        <v>67</v>
      </c>
      <c r="P95" s="12" t="s">
        <v>242</v>
      </c>
    </row>
    <row r="96" customFormat="false" ht="31.3" hidden="false" customHeight="false" outlineLevel="0" collapsed="false">
      <c r="C96" s="11" t="s">
        <v>309</v>
      </c>
      <c r="D96" s="11" t="s">
        <v>244</v>
      </c>
      <c r="E96" s="12" t="s">
        <v>310</v>
      </c>
      <c r="F96" s="11" t="s">
        <v>138</v>
      </c>
      <c r="G96" s="15"/>
      <c r="H96" s="15"/>
      <c r="I96" s="15"/>
      <c r="J96" s="15"/>
      <c r="K96" s="11" t="s">
        <v>150</v>
      </c>
      <c r="L96" s="12" t="s">
        <v>151</v>
      </c>
      <c r="M96" s="11"/>
      <c r="N96" s="11" t="s">
        <v>99</v>
      </c>
      <c r="O96" s="11" t="s">
        <v>67</v>
      </c>
      <c r="P96" s="12" t="s">
        <v>246</v>
      </c>
    </row>
    <row r="97" customFormat="false" ht="31.3" hidden="false" customHeight="false" outlineLevel="0" collapsed="false">
      <c r="C97" s="11" t="s">
        <v>311</v>
      </c>
      <c r="D97" s="11" t="s">
        <v>239</v>
      </c>
      <c r="E97" s="12" t="s">
        <v>312</v>
      </c>
      <c r="F97" s="11" t="s">
        <v>241</v>
      </c>
      <c r="G97" s="15"/>
      <c r="H97" s="15"/>
      <c r="I97" s="15"/>
      <c r="J97" s="15"/>
      <c r="K97" s="11" t="s">
        <v>150</v>
      </c>
      <c r="L97" s="12" t="s">
        <v>151</v>
      </c>
      <c r="M97" s="11"/>
      <c r="N97" s="11" t="s">
        <v>99</v>
      </c>
      <c r="O97" s="11" t="s">
        <v>67</v>
      </c>
      <c r="P97" s="12" t="s">
        <v>242</v>
      </c>
    </row>
    <row r="98" customFormat="false" ht="31.3" hidden="false" customHeight="false" outlineLevel="0" collapsed="false">
      <c r="C98" s="11" t="s">
        <v>313</v>
      </c>
      <c r="D98" s="11" t="s">
        <v>244</v>
      </c>
      <c r="E98" s="12" t="s">
        <v>314</v>
      </c>
      <c r="F98" s="11" t="s">
        <v>138</v>
      </c>
      <c r="G98" s="15"/>
      <c r="H98" s="15"/>
      <c r="I98" s="15"/>
      <c r="J98" s="15"/>
      <c r="K98" s="11" t="s">
        <v>150</v>
      </c>
      <c r="L98" s="12" t="s">
        <v>151</v>
      </c>
      <c r="M98" s="11"/>
      <c r="N98" s="11" t="s">
        <v>99</v>
      </c>
      <c r="O98" s="11" t="s">
        <v>67</v>
      </c>
      <c r="P98" s="12" t="s">
        <v>246</v>
      </c>
    </row>
    <row r="99" customFormat="false" ht="31.3" hidden="false" customHeight="false" outlineLevel="0" collapsed="false">
      <c r="C99" s="11" t="s">
        <v>315</v>
      </c>
      <c r="D99" s="11" t="s">
        <v>239</v>
      </c>
      <c r="E99" s="12" t="s">
        <v>316</v>
      </c>
      <c r="F99" s="11" t="s">
        <v>241</v>
      </c>
      <c r="G99" s="15"/>
      <c r="H99" s="15"/>
      <c r="I99" s="15"/>
      <c r="J99" s="15"/>
      <c r="K99" s="11" t="s">
        <v>150</v>
      </c>
      <c r="L99" s="12" t="s">
        <v>151</v>
      </c>
      <c r="M99" s="11"/>
      <c r="N99" s="11" t="s">
        <v>99</v>
      </c>
      <c r="O99" s="11" t="s">
        <v>67</v>
      </c>
      <c r="P99" s="12" t="s">
        <v>242</v>
      </c>
    </row>
    <row r="100" customFormat="false" ht="31.3" hidden="false" customHeight="false" outlineLevel="0" collapsed="false">
      <c r="C100" s="11" t="s">
        <v>317</v>
      </c>
      <c r="D100" s="11" t="s">
        <v>244</v>
      </c>
      <c r="E100" s="12" t="s">
        <v>318</v>
      </c>
      <c r="F100" s="11" t="s">
        <v>138</v>
      </c>
      <c r="G100" s="15"/>
      <c r="H100" s="15"/>
      <c r="I100" s="15"/>
      <c r="J100" s="15"/>
      <c r="K100" s="11" t="s">
        <v>150</v>
      </c>
      <c r="L100" s="12" t="s">
        <v>151</v>
      </c>
      <c r="M100" s="11"/>
      <c r="N100" s="11" t="s">
        <v>99</v>
      </c>
      <c r="O100" s="11" t="s">
        <v>67</v>
      </c>
      <c r="P100" s="12" t="s">
        <v>246</v>
      </c>
    </row>
    <row r="101" customFormat="false" ht="31.3" hidden="false" customHeight="false" outlineLevel="0" collapsed="false">
      <c r="C101" s="11" t="s">
        <v>319</v>
      </c>
      <c r="D101" s="11" t="s">
        <v>239</v>
      </c>
      <c r="E101" s="12" t="s">
        <v>320</v>
      </c>
      <c r="F101" s="11" t="s">
        <v>241</v>
      </c>
      <c r="G101" s="15"/>
      <c r="H101" s="15"/>
      <c r="I101" s="15"/>
      <c r="J101" s="15"/>
      <c r="K101" s="11" t="s">
        <v>150</v>
      </c>
      <c r="L101" s="12" t="s">
        <v>151</v>
      </c>
      <c r="M101" s="11"/>
      <c r="N101" s="11" t="s">
        <v>99</v>
      </c>
      <c r="O101" s="11" t="s">
        <v>67</v>
      </c>
      <c r="P101" s="12" t="s">
        <v>242</v>
      </c>
    </row>
    <row r="102" customFormat="false" ht="31.3" hidden="false" customHeight="false" outlineLevel="0" collapsed="false">
      <c r="C102" s="11" t="s">
        <v>321</v>
      </c>
      <c r="D102" s="11" t="s">
        <v>244</v>
      </c>
      <c r="E102" s="12" t="s">
        <v>322</v>
      </c>
      <c r="F102" s="11" t="s">
        <v>138</v>
      </c>
      <c r="G102" s="15"/>
      <c r="H102" s="15"/>
      <c r="I102" s="15"/>
      <c r="J102" s="15"/>
      <c r="K102" s="11" t="s">
        <v>150</v>
      </c>
      <c r="L102" s="12" t="s">
        <v>151</v>
      </c>
      <c r="M102" s="11"/>
      <c r="N102" s="11" t="s">
        <v>99</v>
      </c>
      <c r="O102" s="11" t="s">
        <v>67</v>
      </c>
      <c r="P102" s="12" t="s">
        <v>246</v>
      </c>
    </row>
    <row r="103" customFormat="false" ht="31.3" hidden="false" customHeight="false" outlineLevel="0" collapsed="false">
      <c r="C103" s="11" t="s">
        <v>323</v>
      </c>
      <c r="D103" s="11" t="s">
        <v>239</v>
      </c>
      <c r="E103" s="12" t="s">
        <v>324</v>
      </c>
      <c r="F103" s="11" t="s">
        <v>241</v>
      </c>
      <c r="G103" s="15"/>
      <c r="H103" s="15"/>
      <c r="I103" s="15"/>
      <c r="J103" s="15"/>
      <c r="K103" s="11" t="s">
        <v>150</v>
      </c>
      <c r="L103" s="12" t="s">
        <v>151</v>
      </c>
      <c r="M103" s="11"/>
      <c r="N103" s="11" t="s">
        <v>99</v>
      </c>
      <c r="O103" s="11" t="s">
        <v>67</v>
      </c>
      <c r="P103" s="12" t="s">
        <v>242</v>
      </c>
    </row>
    <row r="104" customFormat="false" ht="31.3" hidden="false" customHeight="false" outlineLevel="0" collapsed="false">
      <c r="C104" s="11" t="s">
        <v>325</v>
      </c>
      <c r="D104" s="11" t="s">
        <v>244</v>
      </c>
      <c r="E104" s="12" t="s">
        <v>326</v>
      </c>
      <c r="F104" s="11" t="s">
        <v>138</v>
      </c>
      <c r="G104" s="15"/>
      <c r="H104" s="15"/>
      <c r="I104" s="15"/>
      <c r="J104" s="15"/>
      <c r="K104" s="11" t="s">
        <v>150</v>
      </c>
      <c r="L104" s="12" t="s">
        <v>151</v>
      </c>
      <c r="M104" s="11"/>
      <c r="N104" s="11" t="s">
        <v>99</v>
      </c>
      <c r="O104" s="11" t="s">
        <v>67</v>
      </c>
      <c r="P104" s="12" t="s">
        <v>246</v>
      </c>
    </row>
    <row r="105" customFormat="false" ht="31.3" hidden="false" customHeight="false" outlineLevel="0" collapsed="false">
      <c r="C105" s="11" t="s">
        <v>327</v>
      </c>
      <c r="D105" s="11" t="s">
        <v>239</v>
      </c>
      <c r="E105" s="12" t="s">
        <v>328</v>
      </c>
      <c r="F105" s="11" t="s">
        <v>241</v>
      </c>
      <c r="G105" s="15"/>
      <c r="H105" s="15"/>
      <c r="I105" s="15"/>
      <c r="J105" s="15"/>
      <c r="K105" s="11" t="s">
        <v>150</v>
      </c>
      <c r="L105" s="12" t="s">
        <v>151</v>
      </c>
      <c r="M105" s="11"/>
      <c r="N105" s="11" t="s">
        <v>99</v>
      </c>
      <c r="O105" s="11" t="s">
        <v>67</v>
      </c>
      <c r="P105" s="12" t="s">
        <v>242</v>
      </c>
    </row>
    <row r="106" customFormat="false" ht="31.3" hidden="false" customHeight="false" outlineLevel="0" collapsed="false">
      <c r="C106" s="11" t="s">
        <v>329</v>
      </c>
      <c r="D106" s="11" t="s">
        <v>244</v>
      </c>
      <c r="E106" s="12" t="s">
        <v>330</v>
      </c>
      <c r="F106" s="11" t="s">
        <v>138</v>
      </c>
      <c r="G106" s="15"/>
      <c r="H106" s="15"/>
      <c r="I106" s="15"/>
      <c r="J106" s="15"/>
      <c r="K106" s="11" t="s">
        <v>150</v>
      </c>
      <c r="L106" s="12" t="s">
        <v>151</v>
      </c>
      <c r="M106" s="11"/>
      <c r="N106" s="11" t="s">
        <v>99</v>
      </c>
      <c r="O106" s="11" t="s">
        <v>67</v>
      </c>
      <c r="P106" s="12" t="s">
        <v>246</v>
      </c>
    </row>
    <row r="107" customFormat="false" ht="31.3" hidden="false" customHeight="false" outlineLevel="0" collapsed="false">
      <c r="C107" s="11" t="s">
        <v>331</v>
      </c>
      <c r="D107" s="11" t="s">
        <v>239</v>
      </c>
      <c r="E107" s="12" t="s">
        <v>332</v>
      </c>
      <c r="F107" s="11" t="s">
        <v>241</v>
      </c>
      <c r="G107" s="15"/>
      <c r="H107" s="15"/>
      <c r="I107" s="15"/>
      <c r="J107" s="15"/>
      <c r="K107" s="11" t="s">
        <v>150</v>
      </c>
      <c r="L107" s="12" t="s">
        <v>151</v>
      </c>
      <c r="M107" s="11"/>
      <c r="N107" s="11" t="s">
        <v>99</v>
      </c>
      <c r="O107" s="11" t="s">
        <v>67</v>
      </c>
      <c r="P107" s="12" t="s">
        <v>242</v>
      </c>
    </row>
    <row r="108" customFormat="false" ht="31.3" hidden="false" customHeight="false" outlineLevel="0" collapsed="false">
      <c r="C108" s="11" t="s">
        <v>333</v>
      </c>
      <c r="D108" s="11" t="s">
        <v>244</v>
      </c>
      <c r="E108" s="12" t="s">
        <v>334</v>
      </c>
      <c r="F108" s="11" t="s">
        <v>138</v>
      </c>
      <c r="G108" s="15"/>
      <c r="H108" s="15"/>
      <c r="I108" s="15"/>
      <c r="J108" s="15"/>
      <c r="K108" s="11" t="s">
        <v>150</v>
      </c>
      <c r="L108" s="12" t="s">
        <v>151</v>
      </c>
      <c r="M108" s="11"/>
      <c r="N108" s="11" t="s">
        <v>99</v>
      </c>
      <c r="O108" s="11" t="s">
        <v>67</v>
      </c>
      <c r="P108" s="12" t="s">
        <v>246</v>
      </c>
    </row>
    <row r="109" customFormat="false" ht="31.3" hidden="false" customHeight="false" outlineLevel="0" collapsed="false">
      <c r="C109" s="11" t="s">
        <v>335</v>
      </c>
      <c r="D109" s="11" t="s">
        <v>239</v>
      </c>
      <c r="E109" s="12" t="s">
        <v>336</v>
      </c>
      <c r="F109" s="11" t="s">
        <v>241</v>
      </c>
      <c r="G109" s="15"/>
      <c r="H109" s="15"/>
      <c r="I109" s="15"/>
      <c r="J109" s="15"/>
      <c r="K109" s="11" t="s">
        <v>150</v>
      </c>
      <c r="L109" s="12" t="s">
        <v>151</v>
      </c>
      <c r="M109" s="11"/>
      <c r="N109" s="11" t="s">
        <v>99</v>
      </c>
      <c r="O109" s="11" t="s">
        <v>67</v>
      </c>
      <c r="P109" s="12" t="s">
        <v>242</v>
      </c>
    </row>
    <row r="110" customFormat="false" ht="31.3" hidden="false" customHeight="false" outlineLevel="0" collapsed="false">
      <c r="C110" s="11" t="s">
        <v>337</v>
      </c>
      <c r="D110" s="11" t="s">
        <v>244</v>
      </c>
      <c r="E110" s="12" t="s">
        <v>338</v>
      </c>
      <c r="F110" s="11" t="s">
        <v>138</v>
      </c>
      <c r="G110" s="15"/>
      <c r="H110" s="15"/>
      <c r="I110" s="15"/>
      <c r="J110" s="15"/>
      <c r="K110" s="11" t="s">
        <v>150</v>
      </c>
      <c r="L110" s="12" t="s">
        <v>151</v>
      </c>
      <c r="M110" s="11"/>
      <c r="N110" s="11" t="s">
        <v>99</v>
      </c>
      <c r="O110" s="11" t="s">
        <v>67</v>
      </c>
      <c r="P110" s="12" t="s">
        <v>246</v>
      </c>
    </row>
    <row r="111" customFormat="false" ht="31.3" hidden="false" customHeight="false" outlineLevel="0" collapsed="false">
      <c r="C111" s="11" t="s">
        <v>339</v>
      </c>
      <c r="D111" s="11" t="s">
        <v>239</v>
      </c>
      <c r="E111" s="12" t="s">
        <v>340</v>
      </c>
      <c r="F111" s="11" t="s">
        <v>241</v>
      </c>
      <c r="G111" s="15"/>
      <c r="H111" s="15"/>
      <c r="I111" s="15"/>
      <c r="J111" s="15"/>
      <c r="K111" s="11" t="s">
        <v>150</v>
      </c>
      <c r="L111" s="12" t="s">
        <v>151</v>
      </c>
      <c r="M111" s="11"/>
      <c r="N111" s="11" t="s">
        <v>99</v>
      </c>
      <c r="O111" s="11" t="s">
        <v>67</v>
      </c>
      <c r="P111" s="12" t="s">
        <v>242</v>
      </c>
    </row>
    <row r="112" customFormat="false" ht="31.3" hidden="false" customHeight="false" outlineLevel="0" collapsed="false">
      <c r="C112" s="11" t="s">
        <v>341</v>
      </c>
      <c r="D112" s="11" t="s">
        <v>244</v>
      </c>
      <c r="E112" s="12" t="s">
        <v>342</v>
      </c>
      <c r="F112" s="11" t="s">
        <v>138</v>
      </c>
      <c r="G112" s="15"/>
      <c r="H112" s="15"/>
      <c r="I112" s="15"/>
      <c r="J112" s="15"/>
      <c r="K112" s="11" t="s">
        <v>150</v>
      </c>
      <c r="L112" s="12" t="s">
        <v>151</v>
      </c>
      <c r="M112" s="11"/>
      <c r="N112" s="11" t="s">
        <v>99</v>
      </c>
      <c r="O112" s="11" t="s">
        <v>67</v>
      </c>
      <c r="P112" s="12" t="s">
        <v>246</v>
      </c>
    </row>
    <row r="113" customFormat="false" ht="31.3" hidden="false" customHeight="false" outlineLevel="0" collapsed="false">
      <c r="C113" s="11" t="s">
        <v>343</v>
      </c>
      <c r="D113" s="11" t="s">
        <v>239</v>
      </c>
      <c r="E113" s="12" t="s">
        <v>344</v>
      </c>
      <c r="F113" s="11" t="s">
        <v>241</v>
      </c>
      <c r="G113" s="15"/>
      <c r="H113" s="15"/>
      <c r="I113" s="15"/>
      <c r="J113" s="15"/>
      <c r="K113" s="11" t="s">
        <v>150</v>
      </c>
      <c r="L113" s="12" t="s">
        <v>151</v>
      </c>
      <c r="M113" s="11"/>
      <c r="N113" s="11" t="s">
        <v>99</v>
      </c>
      <c r="O113" s="11" t="s">
        <v>67</v>
      </c>
      <c r="P113" s="12" t="s">
        <v>242</v>
      </c>
    </row>
    <row r="114" customFormat="false" ht="31.3" hidden="false" customHeight="false" outlineLevel="0" collapsed="false">
      <c r="C114" s="11" t="s">
        <v>345</v>
      </c>
      <c r="D114" s="11" t="s">
        <v>244</v>
      </c>
      <c r="E114" s="12" t="s">
        <v>346</v>
      </c>
      <c r="F114" s="11" t="s">
        <v>138</v>
      </c>
      <c r="G114" s="15"/>
      <c r="H114" s="15"/>
      <c r="I114" s="15"/>
      <c r="J114" s="15"/>
      <c r="K114" s="11" t="s">
        <v>150</v>
      </c>
      <c r="L114" s="12" t="s">
        <v>151</v>
      </c>
      <c r="M114" s="11"/>
      <c r="N114" s="11" t="s">
        <v>99</v>
      </c>
      <c r="O114" s="11" t="s">
        <v>67</v>
      </c>
      <c r="P114" s="12" t="s">
        <v>246</v>
      </c>
    </row>
    <row r="115" customFormat="false" ht="31.3" hidden="false" customHeight="false" outlineLevel="0" collapsed="false">
      <c r="C115" s="11" t="s">
        <v>347</v>
      </c>
      <c r="D115" s="11" t="s">
        <v>239</v>
      </c>
      <c r="E115" s="12" t="s">
        <v>348</v>
      </c>
      <c r="F115" s="11" t="s">
        <v>241</v>
      </c>
      <c r="G115" s="15"/>
      <c r="H115" s="15"/>
      <c r="I115" s="15"/>
      <c r="J115" s="15"/>
      <c r="K115" s="11" t="s">
        <v>150</v>
      </c>
      <c r="L115" s="12" t="s">
        <v>151</v>
      </c>
      <c r="M115" s="11"/>
      <c r="N115" s="11" t="s">
        <v>99</v>
      </c>
      <c r="O115" s="11" t="s">
        <v>67</v>
      </c>
      <c r="P115" s="12" t="s">
        <v>242</v>
      </c>
    </row>
    <row r="116" customFormat="false" ht="31.3" hidden="false" customHeight="false" outlineLevel="0" collapsed="false">
      <c r="C116" s="11" t="s">
        <v>349</v>
      </c>
      <c r="D116" s="11" t="s">
        <v>244</v>
      </c>
      <c r="E116" s="12" t="s">
        <v>350</v>
      </c>
      <c r="F116" s="11" t="s">
        <v>138</v>
      </c>
      <c r="G116" s="15"/>
      <c r="H116" s="15"/>
      <c r="I116" s="15"/>
      <c r="J116" s="15"/>
      <c r="K116" s="11" t="s">
        <v>150</v>
      </c>
      <c r="L116" s="12" t="s">
        <v>151</v>
      </c>
      <c r="M116" s="11"/>
      <c r="N116" s="11" t="s">
        <v>99</v>
      </c>
      <c r="O116" s="11" t="s">
        <v>67</v>
      </c>
      <c r="P116" s="12" t="s">
        <v>246</v>
      </c>
    </row>
    <row r="117" customFormat="false" ht="31.3" hidden="false" customHeight="false" outlineLevel="0" collapsed="false">
      <c r="C117" s="11" t="s">
        <v>351</v>
      </c>
      <c r="D117" s="11" t="s">
        <v>239</v>
      </c>
      <c r="E117" s="12" t="s">
        <v>352</v>
      </c>
      <c r="F117" s="11" t="s">
        <v>241</v>
      </c>
      <c r="G117" s="15"/>
      <c r="H117" s="15"/>
      <c r="I117" s="15"/>
      <c r="J117" s="15"/>
      <c r="K117" s="11" t="s">
        <v>150</v>
      </c>
      <c r="L117" s="12" t="s">
        <v>151</v>
      </c>
      <c r="M117" s="11"/>
      <c r="N117" s="11" t="s">
        <v>99</v>
      </c>
      <c r="O117" s="11" t="s">
        <v>67</v>
      </c>
      <c r="P117" s="12" t="s">
        <v>242</v>
      </c>
    </row>
    <row r="118" customFormat="false" ht="31.3" hidden="false" customHeight="false" outlineLevel="0" collapsed="false">
      <c r="C118" s="11" t="s">
        <v>353</v>
      </c>
      <c r="D118" s="11" t="s">
        <v>244</v>
      </c>
      <c r="E118" s="12" t="s">
        <v>354</v>
      </c>
      <c r="F118" s="11" t="s">
        <v>138</v>
      </c>
      <c r="G118" s="15"/>
      <c r="H118" s="15"/>
      <c r="I118" s="15"/>
      <c r="J118" s="15"/>
      <c r="K118" s="11" t="s">
        <v>150</v>
      </c>
      <c r="L118" s="12" t="s">
        <v>151</v>
      </c>
      <c r="M118" s="11"/>
      <c r="N118" s="11" t="s">
        <v>99</v>
      </c>
      <c r="O118" s="11" t="s">
        <v>67</v>
      </c>
      <c r="P118" s="12" t="s">
        <v>246</v>
      </c>
    </row>
    <row r="119" customFormat="false" ht="31.3" hidden="false" customHeight="false" outlineLevel="0" collapsed="false">
      <c r="C119" s="11" t="s">
        <v>355</v>
      </c>
      <c r="D119" s="11" t="s">
        <v>239</v>
      </c>
      <c r="E119" s="12" t="s">
        <v>356</v>
      </c>
      <c r="F119" s="11" t="s">
        <v>241</v>
      </c>
      <c r="G119" s="15"/>
      <c r="H119" s="15"/>
      <c r="I119" s="15"/>
      <c r="J119" s="15"/>
      <c r="K119" s="11" t="s">
        <v>150</v>
      </c>
      <c r="L119" s="12" t="s">
        <v>151</v>
      </c>
      <c r="M119" s="11"/>
      <c r="N119" s="11" t="s">
        <v>99</v>
      </c>
      <c r="O119" s="11" t="s">
        <v>67</v>
      </c>
      <c r="P119" s="12" t="s">
        <v>242</v>
      </c>
    </row>
    <row r="120" customFormat="false" ht="31.3" hidden="false" customHeight="false" outlineLevel="0" collapsed="false">
      <c r="C120" s="11" t="s">
        <v>357</v>
      </c>
      <c r="D120" s="11" t="s">
        <v>244</v>
      </c>
      <c r="E120" s="12" t="s">
        <v>358</v>
      </c>
      <c r="F120" s="11" t="s">
        <v>138</v>
      </c>
      <c r="G120" s="15"/>
      <c r="H120" s="15"/>
      <c r="I120" s="15"/>
      <c r="J120" s="15"/>
      <c r="K120" s="11" t="s">
        <v>150</v>
      </c>
      <c r="L120" s="12" t="s">
        <v>151</v>
      </c>
      <c r="M120" s="11"/>
      <c r="N120" s="11" t="s">
        <v>99</v>
      </c>
      <c r="O120" s="11" t="s">
        <v>67</v>
      </c>
      <c r="P120" s="12" t="s">
        <v>246</v>
      </c>
    </row>
    <row r="121" customFormat="false" ht="31.3" hidden="false" customHeight="false" outlineLevel="0" collapsed="false">
      <c r="C121" s="11" t="s">
        <v>359</v>
      </c>
      <c r="D121" s="11" t="s">
        <v>239</v>
      </c>
      <c r="E121" s="12" t="s">
        <v>360</v>
      </c>
      <c r="F121" s="11" t="s">
        <v>241</v>
      </c>
      <c r="G121" s="15"/>
      <c r="H121" s="15"/>
      <c r="I121" s="15"/>
      <c r="J121" s="15"/>
      <c r="K121" s="11" t="s">
        <v>150</v>
      </c>
      <c r="L121" s="12" t="s">
        <v>151</v>
      </c>
      <c r="M121" s="11"/>
      <c r="N121" s="11" t="s">
        <v>99</v>
      </c>
      <c r="O121" s="11" t="s">
        <v>67</v>
      </c>
      <c r="P121" s="12" t="s">
        <v>242</v>
      </c>
    </row>
    <row r="122" customFormat="false" ht="31.3" hidden="false" customHeight="false" outlineLevel="0" collapsed="false">
      <c r="C122" s="11" t="s">
        <v>361</v>
      </c>
      <c r="D122" s="11" t="s">
        <v>244</v>
      </c>
      <c r="E122" s="12" t="s">
        <v>362</v>
      </c>
      <c r="F122" s="11" t="s">
        <v>138</v>
      </c>
      <c r="G122" s="15"/>
      <c r="H122" s="15"/>
      <c r="I122" s="15"/>
      <c r="J122" s="15"/>
      <c r="K122" s="11" t="s">
        <v>150</v>
      </c>
      <c r="L122" s="12" t="s">
        <v>151</v>
      </c>
      <c r="M122" s="11"/>
      <c r="N122" s="11" t="s">
        <v>99</v>
      </c>
      <c r="O122" s="11" t="s">
        <v>67</v>
      </c>
      <c r="P122" s="12" t="s">
        <v>246</v>
      </c>
    </row>
    <row r="123" customFormat="false" ht="31.3" hidden="false" customHeight="false" outlineLevel="0" collapsed="false">
      <c r="C123" s="11" t="s">
        <v>363</v>
      </c>
      <c r="D123" s="11" t="s">
        <v>239</v>
      </c>
      <c r="E123" s="12" t="s">
        <v>364</v>
      </c>
      <c r="F123" s="11" t="s">
        <v>241</v>
      </c>
      <c r="G123" s="15"/>
      <c r="H123" s="15"/>
      <c r="I123" s="15"/>
      <c r="J123" s="15"/>
      <c r="K123" s="11" t="s">
        <v>150</v>
      </c>
      <c r="L123" s="12" t="s">
        <v>151</v>
      </c>
      <c r="M123" s="11"/>
      <c r="N123" s="11" t="s">
        <v>99</v>
      </c>
      <c r="O123" s="11" t="s">
        <v>67</v>
      </c>
      <c r="P123" s="12" t="s">
        <v>242</v>
      </c>
    </row>
    <row r="124" customFormat="false" ht="31.3" hidden="false" customHeight="false" outlineLevel="0" collapsed="false">
      <c r="C124" s="11" t="s">
        <v>365</v>
      </c>
      <c r="D124" s="11" t="s">
        <v>244</v>
      </c>
      <c r="E124" s="12" t="s">
        <v>366</v>
      </c>
      <c r="F124" s="11" t="s">
        <v>138</v>
      </c>
      <c r="G124" s="15"/>
      <c r="H124" s="15"/>
      <c r="I124" s="15"/>
      <c r="J124" s="15"/>
      <c r="K124" s="11" t="s">
        <v>150</v>
      </c>
      <c r="L124" s="12" t="s">
        <v>151</v>
      </c>
      <c r="M124" s="11"/>
      <c r="N124" s="11" t="s">
        <v>99</v>
      </c>
      <c r="O124" s="11" t="s">
        <v>67</v>
      </c>
      <c r="P124" s="12" t="s">
        <v>246</v>
      </c>
    </row>
    <row r="125" customFormat="false" ht="31.3" hidden="false" customHeight="false" outlineLevel="0" collapsed="false">
      <c r="C125" s="11" t="s">
        <v>367</v>
      </c>
      <c r="D125" s="11" t="s">
        <v>239</v>
      </c>
      <c r="E125" s="12" t="s">
        <v>368</v>
      </c>
      <c r="F125" s="11" t="s">
        <v>241</v>
      </c>
      <c r="G125" s="15"/>
      <c r="H125" s="15"/>
      <c r="I125" s="15"/>
      <c r="J125" s="15"/>
      <c r="K125" s="11" t="s">
        <v>150</v>
      </c>
      <c r="L125" s="12" t="s">
        <v>151</v>
      </c>
      <c r="M125" s="11"/>
      <c r="N125" s="11" t="s">
        <v>99</v>
      </c>
      <c r="O125" s="11" t="s">
        <v>67</v>
      </c>
      <c r="P125" s="12" t="s">
        <v>242</v>
      </c>
    </row>
    <row r="126" customFormat="false" ht="31.3" hidden="false" customHeight="false" outlineLevel="0" collapsed="false">
      <c r="C126" s="11" t="s">
        <v>369</v>
      </c>
      <c r="D126" s="11" t="s">
        <v>244</v>
      </c>
      <c r="E126" s="12" t="s">
        <v>370</v>
      </c>
      <c r="F126" s="11" t="s">
        <v>138</v>
      </c>
      <c r="G126" s="15"/>
      <c r="H126" s="15"/>
      <c r="I126" s="15"/>
      <c r="J126" s="15"/>
      <c r="K126" s="11" t="s">
        <v>150</v>
      </c>
      <c r="L126" s="12" t="s">
        <v>151</v>
      </c>
      <c r="M126" s="11"/>
      <c r="N126" s="11" t="s">
        <v>99</v>
      </c>
      <c r="O126" s="11" t="s">
        <v>67</v>
      </c>
      <c r="P126" s="12" t="s">
        <v>246</v>
      </c>
    </row>
    <row r="127" customFormat="false" ht="31.3" hidden="false" customHeight="false" outlineLevel="0" collapsed="false">
      <c r="C127" s="11" t="s">
        <v>371</v>
      </c>
      <c r="D127" s="11" t="s">
        <v>239</v>
      </c>
      <c r="E127" s="12" t="s">
        <v>372</v>
      </c>
      <c r="F127" s="11" t="s">
        <v>241</v>
      </c>
      <c r="G127" s="15"/>
      <c r="H127" s="15"/>
      <c r="I127" s="15"/>
      <c r="J127" s="15"/>
      <c r="K127" s="11" t="s">
        <v>150</v>
      </c>
      <c r="L127" s="12" t="s">
        <v>151</v>
      </c>
      <c r="M127" s="11"/>
      <c r="N127" s="11" t="s">
        <v>99</v>
      </c>
      <c r="O127" s="11" t="s">
        <v>67</v>
      </c>
      <c r="P127" s="12" t="s">
        <v>242</v>
      </c>
    </row>
    <row r="128" customFormat="false" ht="31.3" hidden="false" customHeight="false" outlineLevel="0" collapsed="false">
      <c r="C128" s="11" t="s">
        <v>373</v>
      </c>
      <c r="D128" s="11" t="s">
        <v>244</v>
      </c>
      <c r="E128" s="12" t="s">
        <v>374</v>
      </c>
      <c r="F128" s="11" t="s">
        <v>138</v>
      </c>
      <c r="G128" s="15"/>
      <c r="H128" s="15"/>
      <c r="I128" s="15"/>
      <c r="J128" s="15"/>
      <c r="K128" s="11" t="s">
        <v>150</v>
      </c>
      <c r="L128" s="12" t="s">
        <v>151</v>
      </c>
      <c r="M128" s="11"/>
      <c r="N128" s="11" t="s">
        <v>99</v>
      </c>
      <c r="O128" s="11" t="s">
        <v>67</v>
      </c>
      <c r="P128" s="12" t="s">
        <v>246</v>
      </c>
    </row>
    <row r="129" customFormat="false" ht="31.3" hidden="false" customHeight="false" outlineLevel="0" collapsed="false">
      <c r="C129" s="11" t="s">
        <v>375</v>
      </c>
      <c r="D129" s="11" t="s">
        <v>239</v>
      </c>
      <c r="E129" s="12" t="s">
        <v>376</v>
      </c>
      <c r="F129" s="11" t="s">
        <v>241</v>
      </c>
      <c r="G129" s="15"/>
      <c r="H129" s="15"/>
      <c r="I129" s="15"/>
      <c r="J129" s="15"/>
      <c r="K129" s="11" t="s">
        <v>150</v>
      </c>
      <c r="L129" s="12" t="s">
        <v>151</v>
      </c>
      <c r="M129" s="11"/>
      <c r="N129" s="11" t="s">
        <v>99</v>
      </c>
      <c r="O129" s="11" t="s">
        <v>67</v>
      </c>
      <c r="P129" s="12" t="s">
        <v>242</v>
      </c>
    </row>
    <row r="130" customFormat="false" ht="31.3" hidden="false" customHeight="false" outlineLevel="0" collapsed="false">
      <c r="C130" s="11" t="s">
        <v>377</v>
      </c>
      <c r="D130" s="11" t="s">
        <v>244</v>
      </c>
      <c r="E130" s="12" t="s">
        <v>378</v>
      </c>
      <c r="F130" s="11" t="s">
        <v>138</v>
      </c>
      <c r="G130" s="15"/>
      <c r="H130" s="15"/>
      <c r="I130" s="15"/>
      <c r="J130" s="15"/>
      <c r="K130" s="11" t="s">
        <v>150</v>
      </c>
      <c r="L130" s="12" t="s">
        <v>151</v>
      </c>
      <c r="M130" s="11"/>
      <c r="N130" s="11" t="s">
        <v>99</v>
      </c>
      <c r="O130" s="11" t="s">
        <v>67</v>
      </c>
      <c r="P130" s="12" t="s">
        <v>246</v>
      </c>
    </row>
    <row r="131" customFormat="false" ht="31.3" hidden="false" customHeight="false" outlineLevel="0" collapsed="false">
      <c r="C131" s="11" t="s">
        <v>379</v>
      </c>
      <c r="D131" s="11" t="s">
        <v>239</v>
      </c>
      <c r="E131" s="12" t="s">
        <v>380</v>
      </c>
      <c r="F131" s="11" t="s">
        <v>241</v>
      </c>
      <c r="G131" s="15"/>
      <c r="H131" s="15"/>
      <c r="I131" s="15"/>
      <c r="J131" s="15"/>
      <c r="K131" s="11" t="s">
        <v>150</v>
      </c>
      <c r="L131" s="12" t="s">
        <v>151</v>
      </c>
      <c r="M131" s="11"/>
      <c r="N131" s="11" t="s">
        <v>99</v>
      </c>
      <c r="O131" s="11" t="s">
        <v>67</v>
      </c>
      <c r="P131" s="12" t="s">
        <v>242</v>
      </c>
    </row>
    <row r="132" customFormat="false" ht="31.3" hidden="false" customHeight="false" outlineLevel="0" collapsed="false">
      <c r="C132" s="11" t="s">
        <v>381</v>
      </c>
      <c r="D132" s="11" t="s">
        <v>244</v>
      </c>
      <c r="E132" s="12" t="s">
        <v>382</v>
      </c>
      <c r="F132" s="11" t="s">
        <v>138</v>
      </c>
      <c r="G132" s="15"/>
      <c r="H132" s="15"/>
      <c r="I132" s="15"/>
      <c r="J132" s="15"/>
      <c r="K132" s="11" t="s">
        <v>150</v>
      </c>
      <c r="L132" s="12" t="s">
        <v>151</v>
      </c>
      <c r="M132" s="11"/>
      <c r="N132" s="11" t="s">
        <v>99</v>
      </c>
      <c r="O132" s="11" t="s">
        <v>67</v>
      </c>
      <c r="P132" s="12" t="s">
        <v>246</v>
      </c>
    </row>
    <row r="133" customFormat="false" ht="31.3" hidden="false" customHeight="false" outlineLevel="0" collapsed="false">
      <c r="C133" s="11" t="s">
        <v>383</v>
      </c>
      <c r="D133" s="11" t="s">
        <v>239</v>
      </c>
      <c r="E133" s="12" t="s">
        <v>384</v>
      </c>
      <c r="F133" s="11" t="s">
        <v>241</v>
      </c>
      <c r="G133" s="15"/>
      <c r="H133" s="15"/>
      <c r="I133" s="15"/>
      <c r="J133" s="15"/>
      <c r="K133" s="11" t="s">
        <v>150</v>
      </c>
      <c r="L133" s="12" t="s">
        <v>151</v>
      </c>
      <c r="M133" s="11"/>
      <c r="N133" s="11" t="s">
        <v>99</v>
      </c>
      <c r="O133" s="11" t="s">
        <v>67</v>
      </c>
      <c r="P133" s="12" t="s">
        <v>242</v>
      </c>
    </row>
    <row r="134" customFormat="false" ht="31.3" hidden="false" customHeight="false" outlineLevel="0" collapsed="false">
      <c r="C134" s="11" t="s">
        <v>385</v>
      </c>
      <c r="D134" s="11" t="s">
        <v>244</v>
      </c>
      <c r="E134" s="12" t="s">
        <v>386</v>
      </c>
      <c r="F134" s="11" t="s">
        <v>138</v>
      </c>
      <c r="G134" s="15"/>
      <c r="H134" s="15"/>
      <c r="I134" s="15"/>
      <c r="J134" s="15"/>
      <c r="K134" s="11" t="s">
        <v>150</v>
      </c>
      <c r="L134" s="12" t="s">
        <v>151</v>
      </c>
      <c r="M134" s="11"/>
      <c r="N134" s="11" t="s">
        <v>99</v>
      </c>
      <c r="O134" s="11" t="s">
        <v>67</v>
      </c>
      <c r="P134" s="12" t="s">
        <v>246</v>
      </c>
    </row>
    <row r="136" customFormat="false" ht="15" hidden="false" customHeight="false" outlineLevel="0" collapsed="false">
      <c r="C136" s="4" t="s">
        <v>387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customFormat="false" ht="16.4" hidden="false" customHeight="false" outlineLevel="0" collapsed="false">
      <c r="C137" s="5" t="s">
        <v>79</v>
      </c>
      <c r="D137" s="5" t="s">
        <v>80</v>
      </c>
      <c r="E137" s="5" t="s">
        <v>81</v>
      </c>
      <c r="F137" s="5" t="s">
        <v>82</v>
      </c>
      <c r="G137" s="5" t="s">
        <v>83</v>
      </c>
      <c r="H137" s="5" t="s">
        <v>84</v>
      </c>
      <c r="I137" s="5" t="s">
        <v>85</v>
      </c>
      <c r="J137" s="5" t="s">
        <v>86</v>
      </c>
      <c r="K137" s="5" t="s">
        <v>87</v>
      </c>
      <c r="L137" s="5" t="s">
        <v>88</v>
      </c>
      <c r="M137" s="5" t="s">
        <v>89</v>
      </c>
      <c r="N137" s="5" t="s">
        <v>90</v>
      </c>
      <c r="O137" s="5" t="s">
        <v>91</v>
      </c>
      <c r="P137" s="5" t="s">
        <v>92</v>
      </c>
    </row>
    <row r="138" customFormat="false" ht="76.1" hidden="false" customHeight="false" outlineLevel="0" collapsed="false">
      <c r="C138" s="11" t="s">
        <v>388</v>
      </c>
      <c r="D138" s="11" t="s">
        <v>389</v>
      </c>
      <c r="E138" s="12" t="s">
        <v>390</v>
      </c>
      <c r="F138" s="11" t="s">
        <v>96</v>
      </c>
      <c r="G138" s="13"/>
      <c r="H138" s="13" t="n">
        <v>55000000</v>
      </c>
      <c r="I138" s="13"/>
      <c r="J138" s="13"/>
      <c r="K138" s="11" t="s">
        <v>97</v>
      </c>
      <c r="L138" s="12" t="s">
        <v>98</v>
      </c>
      <c r="M138" s="11"/>
      <c r="N138" s="11" t="s">
        <v>99</v>
      </c>
      <c r="O138" s="11" t="s">
        <v>391</v>
      </c>
      <c r="P138" s="12" t="s">
        <v>392</v>
      </c>
    </row>
    <row r="139" customFormat="false" ht="46.25" hidden="false" customHeight="false" outlineLevel="0" collapsed="false">
      <c r="C139" s="11" t="s">
        <v>393</v>
      </c>
      <c r="D139" s="11" t="s">
        <v>389</v>
      </c>
      <c r="E139" s="12" t="s">
        <v>394</v>
      </c>
      <c r="F139" s="11" t="s">
        <v>138</v>
      </c>
      <c r="G139" s="15"/>
      <c r="H139" s="15"/>
      <c r="I139" s="15"/>
      <c r="J139" s="15"/>
      <c r="K139" s="11" t="s">
        <v>150</v>
      </c>
      <c r="L139" s="12" t="s">
        <v>151</v>
      </c>
      <c r="M139" s="11"/>
      <c r="N139" s="11" t="s">
        <v>99</v>
      </c>
      <c r="O139" s="11" t="s">
        <v>391</v>
      </c>
      <c r="P139" s="12" t="s">
        <v>395</v>
      </c>
    </row>
    <row r="140" customFormat="false" ht="46.25" hidden="false" customHeight="false" outlineLevel="0" collapsed="false">
      <c r="C140" s="11" t="s">
        <v>396</v>
      </c>
      <c r="D140" s="11" t="s">
        <v>389</v>
      </c>
      <c r="E140" s="12" t="s">
        <v>397</v>
      </c>
      <c r="F140" s="11" t="s">
        <v>398</v>
      </c>
      <c r="G140" s="15"/>
      <c r="H140" s="15"/>
      <c r="I140" s="15"/>
      <c r="J140" s="15"/>
      <c r="K140" s="11" t="s">
        <v>150</v>
      </c>
      <c r="L140" s="12" t="s">
        <v>151</v>
      </c>
      <c r="M140" s="11"/>
      <c r="N140" s="11" t="s">
        <v>99</v>
      </c>
      <c r="O140" s="11" t="s">
        <v>70</v>
      </c>
      <c r="P140" s="12" t="s">
        <v>395</v>
      </c>
    </row>
    <row r="141" customFormat="false" ht="46.25" hidden="false" customHeight="false" outlineLevel="0" collapsed="false">
      <c r="C141" s="11" t="s">
        <v>399</v>
      </c>
      <c r="D141" s="11" t="s">
        <v>389</v>
      </c>
      <c r="E141" s="12" t="s">
        <v>400</v>
      </c>
      <c r="F141" s="11" t="s">
        <v>204</v>
      </c>
      <c r="G141" s="14"/>
      <c r="H141" s="14"/>
      <c r="I141" s="14"/>
      <c r="J141" s="14"/>
      <c r="K141" s="11" t="s">
        <v>150</v>
      </c>
      <c r="L141" s="12" t="s">
        <v>151</v>
      </c>
      <c r="M141" s="11"/>
      <c r="N141" s="11" t="s">
        <v>99</v>
      </c>
      <c r="O141" s="11" t="s">
        <v>391</v>
      </c>
      <c r="P141" s="12" t="s">
        <v>395</v>
      </c>
    </row>
    <row r="142" customFormat="false" ht="46.25" hidden="false" customHeight="false" outlineLevel="0" collapsed="false">
      <c r="C142" s="11" t="s">
        <v>401</v>
      </c>
      <c r="D142" s="11" t="s">
        <v>389</v>
      </c>
      <c r="E142" s="12" t="s">
        <v>402</v>
      </c>
      <c r="F142" s="11" t="s">
        <v>204</v>
      </c>
      <c r="G142" s="14"/>
      <c r="H142" s="14"/>
      <c r="I142" s="14"/>
      <c r="J142" s="14"/>
      <c r="K142" s="11" t="s">
        <v>150</v>
      </c>
      <c r="L142" s="12" t="s">
        <v>151</v>
      </c>
      <c r="M142" s="11"/>
      <c r="N142" s="11" t="s">
        <v>99</v>
      </c>
      <c r="O142" s="11" t="s">
        <v>391</v>
      </c>
      <c r="P142" s="12" t="s">
        <v>395</v>
      </c>
    </row>
    <row r="143" customFormat="false" ht="46.25" hidden="false" customHeight="false" outlineLevel="0" collapsed="false">
      <c r="C143" s="11" t="s">
        <v>403</v>
      </c>
      <c r="D143" s="11" t="s">
        <v>389</v>
      </c>
      <c r="E143" s="12" t="s">
        <v>404</v>
      </c>
      <c r="F143" s="11" t="s">
        <v>204</v>
      </c>
      <c r="G143" s="14"/>
      <c r="H143" s="14"/>
      <c r="I143" s="14"/>
      <c r="J143" s="14"/>
      <c r="K143" s="11" t="s">
        <v>150</v>
      </c>
      <c r="L143" s="12" t="s">
        <v>151</v>
      </c>
      <c r="M143" s="11"/>
      <c r="N143" s="11" t="s">
        <v>99</v>
      </c>
      <c r="O143" s="11" t="s">
        <v>391</v>
      </c>
      <c r="P143" s="12" t="s">
        <v>395</v>
      </c>
    </row>
    <row r="144" customFormat="false" ht="46.25" hidden="false" customHeight="false" outlineLevel="0" collapsed="false">
      <c r="C144" s="11" t="s">
        <v>405</v>
      </c>
      <c r="D144" s="11" t="s">
        <v>389</v>
      </c>
      <c r="E144" s="12" t="s">
        <v>406</v>
      </c>
      <c r="F144" s="11" t="s">
        <v>407</v>
      </c>
      <c r="G144" s="14"/>
      <c r="H144" s="14"/>
      <c r="I144" s="14"/>
      <c r="J144" s="14"/>
      <c r="K144" s="11" t="s">
        <v>150</v>
      </c>
      <c r="L144" s="12" t="s">
        <v>151</v>
      </c>
      <c r="M144" s="11"/>
      <c r="N144" s="11" t="s">
        <v>99</v>
      </c>
      <c r="O144" s="11" t="s">
        <v>391</v>
      </c>
      <c r="P144" s="12" t="s">
        <v>395</v>
      </c>
    </row>
    <row r="145" customFormat="false" ht="46.25" hidden="false" customHeight="false" outlineLevel="0" collapsed="false">
      <c r="C145" s="11" t="s">
        <v>408</v>
      </c>
      <c r="D145" s="11" t="s">
        <v>389</v>
      </c>
      <c r="E145" s="12" t="s">
        <v>409</v>
      </c>
      <c r="F145" s="11" t="s">
        <v>398</v>
      </c>
      <c r="G145" s="15"/>
      <c r="H145" s="15"/>
      <c r="I145" s="15"/>
      <c r="J145" s="15"/>
      <c r="K145" s="11" t="s">
        <v>150</v>
      </c>
      <c r="L145" s="12" t="s">
        <v>151</v>
      </c>
      <c r="M145" s="11"/>
      <c r="N145" s="11" t="s">
        <v>99</v>
      </c>
      <c r="O145" s="11" t="s">
        <v>391</v>
      </c>
      <c r="P145" s="12" t="s">
        <v>395</v>
      </c>
    </row>
    <row r="146" customFormat="false" ht="46.25" hidden="false" customHeight="false" outlineLevel="0" collapsed="false">
      <c r="C146" s="11" t="s">
        <v>410</v>
      </c>
      <c r="D146" s="11" t="s">
        <v>389</v>
      </c>
      <c r="E146" s="12" t="s">
        <v>411</v>
      </c>
      <c r="F146" s="11" t="s">
        <v>96</v>
      </c>
      <c r="G146" s="13"/>
      <c r="H146" s="13"/>
      <c r="I146" s="13"/>
      <c r="J146" s="13"/>
      <c r="K146" s="11" t="s">
        <v>150</v>
      </c>
      <c r="L146" s="12" t="s">
        <v>151</v>
      </c>
      <c r="M146" s="11"/>
      <c r="N146" s="11" t="s">
        <v>99</v>
      </c>
      <c r="O146" s="11" t="s">
        <v>144</v>
      </c>
      <c r="P146" s="12" t="s">
        <v>395</v>
      </c>
    </row>
    <row r="147" customFormat="false" ht="46.25" hidden="false" customHeight="false" outlineLevel="0" collapsed="false">
      <c r="C147" s="11" t="s">
        <v>412</v>
      </c>
      <c r="D147" s="11" t="s">
        <v>389</v>
      </c>
      <c r="E147" s="12" t="s">
        <v>413</v>
      </c>
      <c r="F147" s="11" t="s">
        <v>96</v>
      </c>
      <c r="G147" s="13"/>
      <c r="H147" s="13"/>
      <c r="I147" s="13"/>
      <c r="J147" s="13"/>
      <c r="K147" s="11" t="s">
        <v>150</v>
      </c>
      <c r="L147" s="12" t="s">
        <v>151</v>
      </c>
      <c r="M147" s="11"/>
      <c r="N147" s="11" t="s">
        <v>99</v>
      </c>
      <c r="O147" s="11" t="s">
        <v>144</v>
      </c>
      <c r="P147" s="12" t="s">
        <v>395</v>
      </c>
    </row>
    <row r="148" customFormat="false" ht="46.25" hidden="false" customHeight="false" outlineLevel="0" collapsed="false">
      <c r="C148" s="11" t="s">
        <v>414</v>
      </c>
      <c r="D148" s="11" t="s">
        <v>389</v>
      </c>
      <c r="E148" s="12" t="s">
        <v>415</v>
      </c>
      <c r="F148" s="11" t="s">
        <v>138</v>
      </c>
      <c r="G148" s="15"/>
      <c r="H148" s="15"/>
      <c r="I148" s="15"/>
      <c r="J148" s="15"/>
      <c r="K148" s="11" t="s">
        <v>150</v>
      </c>
      <c r="L148" s="12" t="s">
        <v>151</v>
      </c>
      <c r="M148" s="11"/>
      <c r="N148" s="11" t="s">
        <v>99</v>
      </c>
      <c r="O148" s="11" t="s">
        <v>73</v>
      </c>
      <c r="P148" s="12" t="s">
        <v>395</v>
      </c>
    </row>
    <row r="149" customFormat="false" ht="46.25" hidden="false" customHeight="false" outlineLevel="0" collapsed="false">
      <c r="C149" s="11" t="s">
        <v>416</v>
      </c>
      <c r="D149" s="11" t="s">
        <v>389</v>
      </c>
      <c r="E149" s="12" t="s">
        <v>417</v>
      </c>
      <c r="F149" s="11" t="s">
        <v>407</v>
      </c>
      <c r="G149" s="14"/>
      <c r="H149" s="14"/>
      <c r="I149" s="14"/>
      <c r="J149" s="14"/>
      <c r="K149" s="11" t="s">
        <v>150</v>
      </c>
      <c r="L149" s="12" t="s">
        <v>151</v>
      </c>
      <c r="M149" s="11"/>
      <c r="N149" s="11" t="s">
        <v>99</v>
      </c>
      <c r="O149" s="11" t="s">
        <v>73</v>
      </c>
      <c r="P149" s="12" t="s">
        <v>395</v>
      </c>
    </row>
    <row r="150" customFormat="false" ht="46.25" hidden="false" customHeight="false" outlineLevel="0" collapsed="false">
      <c r="C150" s="11" t="s">
        <v>418</v>
      </c>
      <c r="D150" s="11" t="s">
        <v>389</v>
      </c>
      <c r="E150" s="12" t="s">
        <v>419</v>
      </c>
      <c r="F150" s="11" t="s">
        <v>420</v>
      </c>
      <c r="G150" s="15"/>
      <c r="H150" s="15"/>
      <c r="I150" s="15"/>
      <c r="J150" s="15"/>
      <c r="K150" s="11" t="s">
        <v>150</v>
      </c>
      <c r="L150" s="12" t="s">
        <v>151</v>
      </c>
      <c r="M150" s="11"/>
      <c r="N150" s="11" t="s">
        <v>99</v>
      </c>
      <c r="O150" s="11" t="s">
        <v>73</v>
      </c>
      <c r="P150" s="12" t="s">
        <v>395</v>
      </c>
    </row>
    <row r="151" customFormat="false" ht="46.25" hidden="false" customHeight="false" outlineLevel="0" collapsed="false">
      <c r="C151" s="11" t="s">
        <v>421</v>
      </c>
      <c r="D151" s="11" t="s">
        <v>389</v>
      </c>
      <c r="E151" s="12" t="s">
        <v>422</v>
      </c>
      <c r="F151" s="11" t="s">
        <v>96</v>
      </c>
      <c r="G151" s="13"/>
      <c r="H151" s="13"/>
      <c r="I151" s="13"/>
      <c r="J151" s="13"/>
      <c r="K151" s="11" t="s">
        <v>150</v>
      </c>
      <c r="L151" s="12" t="s">
        <v>151</v>
      </c>
      <c r="M151" s="11"/>
      <c r="N151" s="11" t="s">
        <v>99</v>
      </c>
      <c r="O151" s="11" t="s">
        <v>73</v>
      </c>
      <c r="P151" s="12" t="s">
        <v>395</v>
      </c>
    </row>
  </sheetData>
  <autoFilter ref="C9:P151"/>
  <mergeCells count="6">
    <mergeCell ref="C3:N3"/>
    <mergeCell ref="C8:N8"/>
    <mergeCell ref="C22:N22"/>
    <mergeCell ref="C44:N44"/>
    <mergeCell ref="C61:N61"/>
    <mergeCell ref="C136:N136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SKU-Level Assumptions Input Register | 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P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37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3" min="12" style="0" width="12"/>
    <col collapsed="false" customWidth="true" hidden="false" outlineLevel="0" max="16" min="14" style="0" width="40"/>
  </cols>
  <sheetData>
    <row r="3" customFormat="false" ht="19.7" hidden="false" customHeight="false" outlineLevel="0" collapsed="false">
      <c r="C3" s="1" t="s">
        <v>423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424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425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31.3" hidden="false" customHeight="false" outlineLevel="0" collapsed="false">
      <c r="C9" s="5" t="s">
        <v>79</v>
      </c>
      <c r="D9" s="5" t="s">
        <v>426</v>
      </c>
      <c r="E9" s="5" t="s">
        <v>427</v>
      </c>
      <c r="F9" s="5" t="s">
        <v>428</v>
      </c>
      <c r="G9" s="5" t="s">
        <v>429</v>
      </c>
      <c r="H9" s="5" t="s">
        <v>430</v>
      </c>
      <c r="I9" s="5" t="s">
        <v>82</v>
      </c>
      <c r="J9" s="5" t="s">
        <v>431</v>
      </c>
      <c r="K9" s="5" t="s">
        <v>432</v>
      </c>
      <c r="L9" s="5" t="s">
        <v>433</v>
      </c>
      <c r="M9" s="5" t="s">
        <v>434</v>
      </c>
      <c r="N9" s="5" t="s">
        <v>435</v>
      </c>
      <c r="O9" s="5" t="s">
        <v>88</v>
      </c>
      <c r="P9" s="5" t="s">
        <v>92</v>
      </c>
    </row>
    <row r="10" customFormat="false" ht="46.25" hidden="false" customHeight="false" outlineLevel="0" collapsed="false">
      <c r="C10" s="11" t="s">
        <v>436</v>
      </c>
      <c r="D10" s="11" t="s">
        <v>437</v>
      </c>
      <c r="E10" s="11" t="s">
        <v>438</v>
      </c>
      <c r="F10" s="12" t="s">
        <v>439</v>
      </c>
      <c r="G10" s="12" t="s">
        <v>440</v>
      </c>
      <c r="H10" s="11" t="n">
        <v>1</v>
      </c>
      <c r="I10" s="11" t="s">
        <v>441</v>
      </c>
      <c r="J10" s="13" t="n">
        <v>3400000</v>
      </c>
      <c r="K10" s="13" t="n">
        <v>3400000</v>
      </c>
      <c r="L10" s="16" t="n">
        <f aca="false">K10/$K$110</f>
        <v>0.085</v>
      </c>
      <c r="M10" s="11" t="s">
        <v>442</v>
      </c>
      <c r="N10" s="11" t="s">
        <v>443</v>
      </c>
      <c r="O10" s="12" t="s">
        <v>444</v>
      </c>
      <c r="P10" s="12" t="s">
        <v>445</v>
      </c>
    </row>
    <row r="11" customFormat="false" ht="46.25" hidden="false" customHeight="false" outlineLevel="0" collapsed="false">
      <c r="C11" s="11" t="s">
        <v>446</v>
      </c>
      <c r="D11" s="11" t="s">
        <v>437</v>
      </c>
      <c r="E11" s="11" t="s">
        <v>438</v>
      </c>
      <c r="F11" s="12" t="s">
        <v>447</v>
      </c>
      <c r="G11" s="12" t="s">
        <v>440</v>
      </c>
      <c r="H11" s="11" t="n">
        <v>1</v>
      </c>
      <c r="I11" s="11" t="s">
        <v>441</v>
      </c>
      <c r="J11" s="13" t="n">
        <v>150000</v>
      </c>
      <c r="K11" s="13" t="n">
        <v>150000</v>
      </c>
      <c r="L11" s="16" t="n">
        <f aca="false">K11/$K$110</f>
        <v>0.00375</v>
      </c>
      <c r="M11" s="11" t="s">
        <v>442</v>
      </c>
      <c r="N11" s="11" t="s">
        <v>443</v>
      </c>
      <c r="O11" s="12" t="s">
        <v>444</v>
      </c>
      <c r="P11" s="12" t="s">
        <v>445</v>
      </c>
    </row>
    <row r="12" customFormat="false" ht="46.25" hidden="false" customHeight="false" outlineLevel="0" collapsed="false">
      <c r="C12" s="11" t="s">
        <v>448</v>
      </c>
      <c r="D12" s="11" t="s">
        <v>437</v>
      </c>
      <c r="E12" s="11" t="s">
        <v>438</v>
      </c>
      <c r="F12" s="12" t="s">
        <v>449</v>
      </c>
      <c r="G12" s="12" t="s">
        <v>440</v>
      </c>
      <c r="H12" s="11" t="n">
        <v>1</v>
      </c>
      <c r="I12" s="11" t="s">
        <v>441</v>
      </c>
      <c r="J12" s="13" t="n">
        <v>50000</v>
      </c>
      <c r="K12" s="13" t="n">
        <v>50000</v>
      </c>
      <c r="L12" s="16" t="n">
        <f aca="false">K12/$K$110</f>
        <v>0.00125</v>
      </c>
      <c r="M12" s="11" t="s">
        <v>442</v>
      </c>
      <c r="N12" s="11" t="s">
        <v>443</v>
      </c>
      <c r="O12" s="12" t="s">
        <v>444</v>
      </c>
      <c r="P12" s="12" t="s">
        <v>445</v>
      </c>
    </row>
    <row r="13" customFormat="false" ht="46.25" hidden="false" customHeight="false" outlineLevel="0" collapsed="false">
      <c r="C13" s="11" t="s">
        <v>450</v>
      </c>
      <c r="D13" s="11" t="s">
        <v>437</v>
      </c>
      <c r="E13" s="11" t="s">
        <v>438</v>
      </c>
      <c r="F13" s="12" t="s">
        <v>451</v>
      </c>
      <c r="G13" s="12" t="s">
        <v>440</v>
      </c>
      <c r="H13" s="11" t="n">
        <v>1</v>
      </c>
      <c r="I13" s="11" t="s">
        <v>441</v>
      </c>
      <c r="J13" s="13" t="n">
        <v>50000</v>
      </c>
      <c r="K13" s="13" t="n">
        <v>50000</v>
      </c>
      <c r="L13" s="16" t="n">
        <f aca="false">K13/$K$110</f>
        <v>0.00125</v>
      </c>
      <c r="M13" s="11" t="s">
        <v>442</v>
      </c>
      <c r="N13" s="11" t="s">
        <v>443</v>
      </c>
      <c r="O13" s="12" t="s">
        <v>444</v>
      </c>
      <c r="P13" s="12" t="s">
        <v>445</v>
      </c>
    </row>
    <row r="14" customFormat="false" ht="46.25" hidden="false" customHeight="false" outlineLevel="0" collapsed="false">
      <c r="C14" s="11" t="s">
        <v>452</v>
      </c>
      <c r="D14" s="11" t="s">
        <v>437</v>
      </c>
      <c r="E14" s="11" t="s">
        <v>438</v>
      </c>
      <c r="F14" s="12" t="s">
        <v>453</v>
      </c>
      <c r="G14" s="12" t="s">
        <v>440</v>
      </c>
      <c r="H14" s="11" t="n">
        <v>1</v>
      </c>
      <c r="I14" s="11" t="s">
        <v>441</v>
      </c>
      <c r="J14" s="13" t="n">
        <v>50000</v>
      </c>
      <c r="K14" s="13" t="n">
        <v>50000</v>
      </c>
      <c r="L14" s="16" t="n">
        <f aca="false">K14/$K$110</f>
        <v>0.00125</v>
      </c>
      <c r="M14" s="11" t="s">
        <v>442</v>
      </c>
      <c r="N14" s="11" t="s">
        <v>443</v>
      </c>
      <c r="O14" s="12" t="s">
        <v>444</v>
      </c>
      <c r="P14" s="12" t="s">
        <v>445</v>
      </c>
    </row>
    <row r="15" customFormat="false" ht="46.25" hidden="false" customHeight="false" outlineLevel="0" collapsed="false">
      <c r="C15" s="11" t="s">
        <v>454</v>
      </c>
      <c r="D15" s="11" t="s">
        <v>437</v>
      </c>
      <c r="E15" s="11" t="s">
        <v>438</v>
      </c>
      <c r="F15" s="12" t="s">
        <v>455</v>
      </c>
      <c r="G15" s="12" t="s">
        <v>440</v>
      </c>
      <c r="H15" s="11" t="n">
        <v>1</v>
      </c>
      <c r="I15" s="11" t="s">
        <v>441</v>
      </c>
      <c r="J15" s="13" t="n">
        <v>50000</v>
      </c>
      <c r="K15" s="13" t="n">
        <v>50000</v>
      </c>
      <c r="L15" s="16" t="n">
        <f aca="false">K15/$K$110</f>
        <v>0.00125</v>
      </c>
      <c r="M15" s="11" t="s">
        <v>442</v>
      </c>
      <c r="N15" s="11" t="s">
        <v>443</v>
      </c>
      <c r="O15" s="12" t="s">
        <v>444</v>
      </c>
      <c r="P15" s="12" t="s">
        <v>445</v>
      </c>
    </row>
    <row r="16" customFormat="false" ht="46.25" hidden="false" customHeight="false" outlineLevel="0" collapsed="false">
      <c r="C16" s="11" t="s">
        <v>456</v>
      </c>
      <c r="D16" s="11" t="s">
        <v>437</v>
      </c>
      <c r="E16" s="11" t="s">
        <v>438</v>
      </c>
      <c r="F16" s="12" t="s">
        <v>457</v>
      </c>
      <c r="G16" s="12" t="s">
        <v>440</v>
      </c>
      <c r="H16" s="11" t="n">
        <v>1</v>
      </c>
      <c r="I16" s="11" t="s">
        <v>441</v>
      </c>
      <c r="J16" s="13" t="n">
        <v>75000</v>
      </c>
      <c r="K16" s="13" t="n">
        <v>75000</v>
      </c>
      <c r="L16" s="16" t="n">
        <f aca="false">K16/$K$110</f>
        <v>0.001875</v>
      </c>
      <c r="M16" s="11" t="s">
        <v>442</v>
      </c>
      <c r="N16" s="11" t="s">
        <v>443</v>
      </c>
      <c r="O16" s="12" t="s">
        <v>444</v>
      </c>
      <c r="P16" s="12" t="s">
        <v>445</v>
      </c>
    </row>
    <row r="17" customFormat="false" ht="46.25" hidden="false" customHeight="false" outlineLevel="0" collapsed="false">
      <c r="C17" s="11" t="s">
        <v>458</v>
      </c>
      <c r="D17" s="11" t="s">
        <v>437</v>
      </c>
      <c r="E17" s="11" t="s">
        <v>438</v>
      </c>
      <c r="F17" s="12" t="s">
        <v>459</v>
      </c>
      <c r="G17" s="12" t="s">
        <v>440</v>
      </c>
      <c r="H17" s="11" t="n">
        <v>1</v>
      </c>
      <c r="I17" s="11" t="s">
        <v>441</v>
      </c>
      <c r="J17" s="13" t="n">
        <v>50000</v>
      </c>
      <c r="K17" s="13" t="n">
        <v>50000</v>
      </c>
      <c r="L17" s="16" t="n">
        <f aca="false">K17/$K$110</f>
        <v>0.00125</v>
      </c>
      <c r="M17" s="11" t="s">
        <v>442</v>
      </c>
      <c r="N17" s="11" t="s">
        <v>443</v>
      </c>
      <c r="O17" s="12" t="s">
        <v>444</v>
      </c>
      <c r="P17" s="12" t="s">
        <v>445</v>
      </c>
    </row>
    <row r="18" customFormat="false" ht="46.25" hidden="false" customHeight="false" outlineLevel="0" collapsed="false">
      <c r="C18" s="11" t="s">
        <v>460</v>
      </c>
      <c r="D18" s="11" t="s">
        <v>437</v>
      </c>
      <c r="E18" s="11" t="s">
        <v>438</v>
      </c>
      <c r="F18" s="12" t="s">
        <v>461</v>
      </c>
      <c r="G18" s="12" t="s">
        <v>440</v>
      </c>
      <c r="H18" s="11" t="n">
        <v>1</v>
      </c>
      <c r="I18" s="11" t="s">
        <v>441</v>
      </c>
      <c r="J18" s="13" t="n">
        <v>50000</v>
      </c>
      <c r="K18" s="13" t="n">
        <v>50000</v>
      </c>
      <c r="L18" s="16" t="n">
        <f aca="false">K18/$K$110</f>
        <v>0.00125</v>
      </c>
      <c r="M18" s="11" t="s">
        <v>442</v>
      </c>
      <c r="N18" s="11" t="s">
        <v>443</v>
      </c>
      <c r="O18" s="12" t="s">
        <v>444</v>
      </c>
      <c r="P18" s="12" t="s">
        <v>445</v>
      </c>
    </row>
    <row r="19" customFormat="false" ht="46.25" hidden="false" customHeight="false" outlineLevel="0" collapsed="false">
      <c r="C19" s="11" t="s">
        <v>462</v>
      </c>
      <c r="D19" s="11" t="s">
        <v>437</v>
      </c>
      <c r="E19" s="11" t="s">
        <v>438</v>
      </c>
      <c r="F19" s="12" t="s">
        <v>463</v>
      </c>
      <c r="G19" s="12" t="s">
        <v>440</v>
      </c>
      <c r="H19" s="11" t="n">
        <v>1</v>
      </c>
      <c r="I19" s="11" t="s">
        <v>441</v>
      </c>
      <c r="J19" s="13" t="n">
        <v>75000</v>
      </c>
      <c r="K19" s="13" t="n">
        <v>75000</v>
      </c>
      <c r="L19" s="16" t="n">
        <f aca="false">K19/$K$110</f>
        <v>0.001875</v>
      </c>
      <c r="M19" s="11" t="s">
        <v>442</v>
      </c>
      <c r="N19" s="11" t="s">
        <v>443</v>
      </c>
      <c r="O19" s="12" t="s">
        <v>444</v>
      </c>
      <c r="P19" s="12" t="s">
        <v>445</v>
      </c>
    </row>
    <row r="20" customFormat="false" ht="46.25" hidden="false" customHeight="false" outlineLevel="0" collapsed="false">
      <c r="C20" s="11" t="s">
        <v>464</v>
      </c>
      <c r="D20" s="11" t="s">
        <v>465</v>
      </c>
      <c r="E20" s="11" t="s">
        <v>466</v>
      </c>
      <c r="F20" s="12" t="s">
        <v>467</v>
      </c>
      <c r="G20" s="12" t="s">
        <v>440</v>
      </c>
      <c r="H20" s="11" t="n">
        <v>1</v>
      </c>
      <c r="I20" s="11" t="s">
        <v>441</v>
      </c>
      <c r="J20" s="13" t="n">
        <v>700000</v>
      </c>
      <c r="K20" s="13" t="n">
        <v>700000</v>
      </c>
      <c r="L20" s="16" t="n">
        <f aca="false">K20/$K$110</f>
        <v>0.0175</v>
      </c>
      <c r="M20" s="11" t="s">
        <v>442</v>
      </c>
      <c r="N20" s="11" t="s">
        <v>443</v>
      </c>
      <c r="O20" s="12" t="s">
        <v>444</v>
      </c>
      <c r="P20" s="12" t="s">
        <v>445</v>
      </c>
    </row>
    <row r="21" customFormat="false" ht="46.25" hidden="false" customHeight="false" outlineLevel="0" collapsed="false">
      <c r="C21" s="11" t="s">
        <v>468</v>
      </c>
      <c r="D21" s="11" t="s">
        <v>465</v>
      </c>
      <c r="E21" s="11" t="s">
        <v>466</v>
      </c>
      <c r="F21" s="12" t="s">
        <v>469</v>
      </c>
      <c r="G21" s="12" t="s">
        <v>440</v>
      </c>
      <c r="H21" s="11" t="n">
        <v>1</v>
      </c>
      <c r="I21" s="11" t="s">
        <v>441</v>
      </c>
      <c r="J21" s="13" t="n">
        <v>500000</v>
      </c>
      <c r="K21" s="13" t="n">
        <v>500000</v>
      </c>
      <c r="L21" s="16" t="n">
        <f aca="false">K21/$K$110</f>
        <v>0.0125</v>
      </c>
      <c r="M21" s="11" t="s">
        <v>442</v>
      </c>
      <c r="N21" s="11" t="s">
        <v>443</v>
      </c>
      <c r="O21" s="12" t="s">
        <v>444</v>
      </c>
      <c r="P21" s="12" t="s">
        <v>445</v>
      </c>
    </row>
    <row r="22" customFormat="false" ht="46.25" hidden="false" customHeight="false" outlineLevel="0" collapsed="false">
      <c r="C22" s="11" t="s">
        <v>470</v>
      </c>
      <c r="D22" s="11" t="s">
        <v>465</v>
      </c>
      <c r="E22" s="11" t="s">
        <v>466</v>
      </c>
      <c r="F22" s="12" t="s">
        <v>471</v>
      </c>
      <c r="G22" s="12" t="s">
        <v>440</v>
      </c>
      <c r="H22" s="11" t="n">
        <v>1</v>
      </c>
      <c r="I22" s="11" t="s">
        <v>441</v>
      </c>
      <c r="J22" s="13" t="n">
        <v>500000</v>
      </c>
      <c r="K22" s="13" t="n">
        <v>500000</v>
      </c>
      <c r="L22" s="16" t="n">
        <f aca="false">K22/$K$110</f>
        <v>0.0125</v>
      </c>
      <c r="M22" s="11" t="s">
        <v>442</v>
      </c>
      <c r="N22" s="11" t="s">
        <v>443</v>
      </c>
      <c r="O22" s="12" t="s">
        <v>444</v>
      </c>
      <c r="P22" s="12" t="s">
        <v>445</v>
      </c>
    </row>
    <row r="23" customFormat="false" ht="46.25" hidden="false" customHeight="false" outlineLevel="0" collapsed="false">
      <c r="C23" s="11" t="s">
        <v>472</v>
      </c>
      <c r="D23" s="11" t="s">
        <v>465</v>
      </c>
      <c r="E23" s="11" t="s">
        <v>466</v>
      </c>
      <c r="F23" s="12" t="s">
        <v>473</v>
      </c>
      <c r="G23" s="12" t="s">
        <v>440</v>
      </c>
      <c r="H23" s="11" t="n">
        <v>1</v>
      </c>
      <c r="I23" s="11" t="s">
        <v>441</v>
      </c>
      <c r="J23" s="13" t="n">
        <v>500000</v>
      </c>
      <c r="K23" s="13" t="n">
        <v>500000</v>
      </c>
      <c r="L23" s="16" t="n">
        <f aca="false">K23/$K$110</f>
        <v>0.0125</v>
      </c>
      <c r="M23" s="11" t="s">
        <v>442</v>
      </c>
      <c r="N23" s="11" t="s">
        <v>443</v>
      </c>
      <c r="O23" s="12" t="s">
        <v>444</v>
      </c>
      <c r="P23" s="12" t="s">
        <v>445</v>
      </c>
    </row>
    <row r="24" customFormat="false" ht="46.25" hidden="false" customHeight="false" outlineLevel="0" collapsed="false">
      <c r="C24" s="11" t="s">
        <v>474</v>
      </c>
      <c r="D24" s="11" t="s">
        <v>465</v>
      </c>
      <c r="E24" s="11" t="s">
        <v>466</v>
      </c>
      <c r="F24" s="12" t="s">
        <v>475</v>
      </c>
      <c r="G24" s="12" t="s">
        <v>440</v>
      </c>
      <c r="H24" s="11" t="n">
        <v>1</v>
      </c>
      <c r="I24" s="11" t="s">
        <v>441</v>
      </c>
      <c r="J24" s="13" t="n">
        <v>450000</v>
      </c>
      <c r="K24" s="13" t="n">
        <v>450000</v>
      </c>
      <c r="L24" s="16" t="n">
        <f aca="false">K24/$K$110</f>
        <v>0.01125</v>
      </c>
      <c r="M24" s="11" t="s">
        <v>442</v>
      </c>
      <c r="N24" s="11" t="s">
        <v>443</v>
      </c>
      <c r="O24" s="12" t="s">
        <v>444</v>
      </c>
      <c r="P24" s="12" t="s">
        <v>445</v>
      </c>
    </row>
    <row r="25" customFormat="false" ht="46.25" hidden="false" customHeight="false" outlineLevel="0" collapsed="false">
      <c r="C25" s="11" t="s">
        <v>476</v>
      </c>
      <c r="D25" s="11" t="s">
        <v>465</v>
      </c>
      <c r="E25" s="11" t="s">
        <v>466</v>
      </c>
      <c r="F25" s="12" t="s">
        <v>477</v>
      </c>
      <c r="G25" s="12" t="s">
        <v>440</v>
      </c>
      <c r="H25" s="11" t="n">
        <v>1</v>
      </c>
      <c r="I25" s="11" t="s">
        <v>441</v>
      </c>
      <c r="J25" s="13" t="n">
        <v>250000</v>
      </c>
      <c r="K25" s="13" t="n">
        <v>250000</v>
      </c>
      <c r="L25" s="16" t="n">
        <f aca="false">K25/$K$110</f>
        <v>0.00625</v>
      </c>
      <c r="M25" s="11" t="s">
        <v>442</v>
      </c>
      <c r="N25" s="11" t="s">
        <v>443</v>
      </c>
      <c r="O25" s="12" t="s">
        <v>444</v>
      </c>
      <c r="P25" s="12" t="s">
        <v>445</v>
      </c>
    </row>
    <row r="26" customFormat="false" ht="46.25" hidden="false" customHeight="false" outlineLevel="0" collapsed="false">
      <c r="C26" s="11" t="s">
        <v>478</v>
      </c>
      <c r="D26" s="11" t="s">
        <v>465</v>
      </c>
      <c r="E26" s="11" t="s">
        <v>466</v>
      </c>
      <c r="F26" s="12" t="s">
        <v>479</v>
      </c>
      <c r="G26" s="12" t="s">
        <v>440</v>
      </c>
      <c r="H26" s="11" t="n">
        <v>1</v>
      </c>
      <c r="I26" s="11" t="s">
        <v>441</v>
      </c>
      <c r="J26" s="13" t="n">
        <v>300000</v>
      </c>
      <c r="K26" s="13" t="n">
        <v>300000</v>
      </c>
      <c r="L26" s="16" t="n">
        <f aca="false">K26/$K$110</f>
        <v>0.0075</v>
      </c>
      <c r="M26" s="11" t="s">
        <v>442</v>
      </c>
      <c r="N26" s="11" t="s">
        <v>443</v>
      </c>
      <c r="O26" s="12" t="s">
        <v>444</v>
      </c>
      <c r="P26" s="12" t="s">
        <v>445</v>
      </c>
    </row>
    <row r="27" customFormat="false" ht="46.25" hidden="false" customHeight="false" outlineLevel="0" collapsed="false">
      <c r="C27" s="11" t="s">
        <v>480</v>
      </c>
      <c r="D27" s="11" t="s">
        <v>465</v>
      </c>
      <c r="E27" s="11" t="s">
        <v>466</v>
      </c>
      <c r="F27" s="12" t="s">
        <v>481</v>
      </c>
      <c r="G27" s="12" t="s">
        <v>440</v>
      </c>
      <c r="H27" s="11" t="n">
        <v>1</v>
      </c>
      <c r="I27" s="11" t="s">
        <v>441</v>
      </c>
      <c r="J27" s="13" t="n">
        <v>300000</v>
      </c>
      <c r="K27" s="13" t="n">
        <v>300000</v>
      </c>
      <c r="L27" s="16" t="n">
        <f aca="false">K27/$K$110</f>
        <v>0.0075</v>
      </c>
      <c r="M27" s="11" t="s">
        <v>442</v>
      </c>
      <c r="N27" s="11" t="s">
        <v>443</v>
      </c>
      <c r="O27" s="12" t="s">
        <v>444</v>
      </c>
      <c r="P27" s="12" t="s">
        <v>445</v>
      </c>
    </row>
    <row r="28" customFormat="false" ht="46.25" hidden="false" customHeight="false" outlineLevel="0" collapsed="false">
      <c r="C28" s="11" t="s">
        <v>482</v>
      </c>
      <c r="D28" s="11" t="s">
        <v>465</v>
      </c>
      <c r="E28" s="11" t="s">
        <v>466</v>
      </c>
      <c r="F28" s="12" t="s">
        <v>483</v>
      </c>
      <c r="G28" s="12" t="s">
        <v>440</v>
      </c>
      <c r="H28" s="11" t="n">
        <v>1</v>
      </c>
      <c r="I28" s="11" t="s">
        <v>441</v>
      </c>
      <c r="J28" s="13" t="n">
        <v>200000</v>
      </c>
      <c r="K28" s="13" t="n">
        <v>200000</v>
      </c>
      <c r="L28" s="16" t="n">
        <f aca="false">K28/$K$110</f>
        <v>0.005</v>
      </c>
      <c r="M28" s="11" t="s">
        <v>442</v>
      </c>
      <c r="N28" s="11" t="s">
        <v>443</v>
      </c>
      <c r="O28" s="12" t="s">
        <v>444</v>
      </c>
      <c r="P28" s="12" t="s">
        <v>445</v>
      </c>
    </row>
    <row r="29" customFormat="false" ht="46.25" hidden="false" customHeight="false" outlineLevel="0" collapsed="false">
      <c r="C29" s="11" t="s">
        <v>484</v>
      </c>
      <c r="D29" s="11" t="s">
        <v>465</v>
      </c>
      <c r="E29" s="11" t="s">
        <v>466</v>
      </c>
      <c r="F29" s="12" t="s">
        <v>485</v>
      </c>
      <c r="G29" s="12" t="s">
        <v>440</v>
      </c>
      <c r="H29" s="11" t="n">
        <v>1</v>
      </c>
      <c r="I29" s="11" t="s">
        <v>441</v>
      </c>
      <c r="J29" s="13" t="n">
        <v>300000</v>
      </c>
      <c r="K29" s="13" t="n">
        <v>300000</v>
      </c>
      <c r="L29" s="16" t="n">
        <f aca="false">K29/$K$110</f>
        <v>0.0075</v>
      </c>
      <c r="M29" s="11" t="s">
        <v>442</v>
      </c>
      <c r="N29" s="11" t="s">
        <v>443</v>
      </c>
      <c r="O29" s="12" t="s">
        <v>444</v>
      </c>
      <c r="P29" s="12" t="s">
        <v>445</v>
      </c>
    </row>
    <row r="30" customFormat="false" ht="46.25" hidden="false" customHeight="false" outlineLevel="0" collapsed="false">
      <c r="C30" s="11" t="s">
        <v>486</v>
      </c>
      <c r="D30" s="11" t="s">
        <v>487</v>
      </c>
      <c r="E30" s="11" t="s">
        <v>466</v>
      </c>
      <c r="F30" s="12" t="s">
        <v>488</v>
      </c>
      <c r="G30" s="12" t="s">
        <v>489</v>
      </c>
      <c r="H30" s="11" t="n">
        <v>1</v>
      </c>
      <c r="I30" s="11" t="s">
        <v>441</v>
      </c>
      <c r="J30" s="13" t="n">
        <v>1200000</v>
      </c>
      <c r="K30" s="13" t="n">
        <v>1200000</v>
      </c>
      <c r="L30" s="16" t="n">
        <f aca="false">K30/$K$110</f>
        <v>0.03</v>
      </c>
      <c r="M30" s="11" t="s">
        <v>442</v>
      </c>
      <c r="N30" s="11" t="s">
        <v>443</v>
      </c>
      <c r="O30" s="12" t="s">
        <v>444</v>
      </c>
      <c r="P30" s="12" t="s">
        <v>445</v>
      </c>
    </row>
    <row r="31" customFormat="false" ht="46.25" hidden="false" customHeight="false" outlineLevel="0" collapsed="false">
      <c r="C31" s="11" t="s">
        <v>490</v>
      </c>
      <c r="D31" s="11" t="s">
        <v>487</v>
      </c>
      <c r="E31" s="11" t="s">
        <v>466</v>
      </c>
      <c r="F31" s="12" t="s">
        <v>491</v>
      </c>
      <c r="G31" s="12" t="s">
        <v>489</v>
      </c>
      <c r="H31" s="11" t="n">
        <v>1</v>
      </c>
      <c r="I31" s="11" t="s">
        <v>441</v>
      </c>
      <c r="J31" s="13" t="n">
        <v>800000</v>
      </c>
      <c r="K31" s="13" t="n">
        <v>800000</v>
      </c>
      <c r="L31" s="16" t="n">
        <f aca="false">K31/$K$110</f>
        <v>0.02</v>
      </c>
      <c r="M31" s="11" t="s">
        <v>442</v>
      </c>
      <c r="N31" s="11" t="s">
        <v>443</v>
      </c>
      <c r="O31" s="12" t="s">
        <v>444</v>
      </c>
      <c r="P31" s="12" t="s">
        <v>445</v>
      </c>
    </row>
    <row r="32" customFormat="false" ht="46.25" hidden="false" customHeight="false" outlineLevel="0" collapsed="false">
      <c r="C32" s="11" t="s">
        <v>492</v>
      </c>
      <c r="D32" s="11" t="s">
        <v>487</v>
      </c>
      <c r="E32" s="11" t="s">
        <v>466</v>
      </c>
      <c r="F32" s="12" t="s">
        <v>493</v>
      </c>
      <c r="G32" s="12" t="s">
        <v>489</v>
      </c>
      <c r="H32" s="11" t="n">
        <v>1</v>
      </c>
      <c r="I32" s="11" t="s">
        <v>441</v>
      </c>
      <c r="J32" s="13" t="n">
        <v>700000</v>
      </c>
      <c r="K32" s="13" t="n">
        <v>700000</v>
      </c>
      <c r="L32" s="16" t="n">
        <f aca="false">K32/$K$110</f>
        <v>0.0175</v>
      </c>
      <c r="M32" s="11" t="s">
        <v>442</v>
      </c>
      <c r="N32" s="11" t="s">
        <v>443</v>
      </c>
      <c r="O32" s="12" t="s">
        <v>444</v>
      </c>
      <c r="P32" s="12" t="s">
        <v>445</v>
      </c>
    </row>
    <row r="33" customFormat="false" ht="46.25" hidden="false" customHeight="false" outlineLevel="0" collapsed="false">
      <c r="C33" s="11" t="s">
        <v>494</v>
      </c>
      <c r="D33" s="11" t="s">
        <v>487</v>
      </c>
      <c r="E33" s="11" t="s">
        <v>466</v>
      </c>
      <c r="F33" s="12" t="s">
        <v>495</v>
      </c>
      <c r="G33" s="12" t="s">
        <v>489</v>
      </c>
      <c r="H33" s="11" t="n">
        <v>1</v>
      </c>
      <c r="I33" s="11" t="s">
        <v>441</v>
      </c>
      <c r="J33" s="13" t="n">
        <v>500000</v>
      </c>
      <c r="K33" s="13" t="n">
        <v>500000</v>
      </c>
      <c r="L33" s="16" t="n">
        <f aca="false">K33/$K$110</f>
        <v>0.0125</v>
      </c>
      <c r="M33" s="11" t="s">
        <v>442</v>
      </c>
      <c r="N33" s="11" t="s">
        <v>443</v>
      </c>
      <c r="O33" s="12" t="s">
        <v>444</v>
      </c>
      <c r="P33" s="12" t="s">
        <v>445</v>
      </c>
    </row>
    <row r="34" customFormat="false" ht="46.25" hidden="false" customHeight="false" outlineLevel="0" collapsed="false">
      <c r="C34" s="11" t="s">
        <v>496</v>
      </c>
      <c r="D34" s="11" t="s">
        <v>487</v>
      </c>
      <c r="E34" s="11" t="s">
        <v>466</v>
      </c>
      <c r="F34" s="12" t="s">
        <v>497</v>
      </c>
      <c r="G34" s="12" t="s">
        <v>489</v>
      </c>
      <c r="H34" s="11" t="n">
        <v>1</v>
      </c>
      <c r="I34" s="11" t="s">
        <v>441</v>
      </c>
      <c r="J34" s="13" t="n">
        <v>380000</v>
      </c>
      <c r="K34" s="13" t="n">
        <v>380000</v>
      </c>
      <c r="L34" s="16" t="n">
        <f aca="false">K34/$K$110</f>
        <v>0.0095</v>
      </c>
      <c r="M34" s="11" t="s">
        <v>442</v>
      </c>
      <c r="N34" s="11" t="s">
        <v>443</v>
      </c>
      <c r="O34" s="12" t="s">
        <v>444</v>
      </c>
      <c r="P34" s="12" t="s">
        <v>445</v>
      </c>
    </row>
    <row r="35" customFormat="false" ht="46.25" hidden="false" customHeight="false" outlineLevel="0" collapsed="false">
      <c r="C35" s="11" t="s">
        <v>498</v>
      </c>
      <c r="D35" s="11" t="s">
        <v>487</v>
      </c>
      <c r="E35" s="11" t="s">
        <v>466</v>
      </c>
      <c r="F35" s="12" t="s">
        <v>499</v>
      </c>
      <c r="G35" s="12" t="s">
        <v>489</v>
      </c>
      <c r="H35" s="11" t="n">
        <v>1</v>
      </c>
      <c r="I35" s="11" t="s">
        <v>441</v>
      </c>
      <c r="J35" s="13" t="n">
        <v>700000</v>
      </c>
      <c r="K35" s="13" t="n">
        <v>700000</v>
      </c>
      <c r="L35" s="16" t="n">
        <f aca="false">K35/$K$110</f>
        <v>0.0175</v>
      </c>
      <c r="M35" s="11" t="s">
        <v>442</v>
      </c>
      <c r="N35" s="11" t="s">
        <v>443</v>
      </c>
      <c r="O35" s="12" t="s">
        <v>444</v>
      </c>
      <c r="P35" s="12" t="s">
        <v>445</v>
      </c>
    </row>
    <row r="36" customFormat="false" ht="46.25" hidden="false" customHeight="false" outlineLevel="0" collapsed="false">
      <c r="C36" s="11" t="s">
        <v>500</v>
      </c>
      <c r="D36" s="11" t="s">
        <v>487</v>
      </c>
      <c r="E36" s="11" t="s">
        <v>466</v>
      </c>
      <c r="F36" s="12" t="s">
        <v>501</v>
      </c>
      <c r="G36" s="12" t="s">
        <v>489</v>
      </c>
      <c r="H36" s="11" t="n">
        <v>1</v>
      </c>
      <c r="I36" s="11" t="s">
        <v>441</v>
      </c>
      <c r="J36" s="13" t="n">
        <v>500000</v>
      </c>
      <c r="K36" s="13" t="n">
        <v>500000</v>
      </c>
      <c r="L36" s="16" t="n">
        <f aca="false">K36/$K$110</f>
        <v>0.0125</v>
      </c>
      <c r="M36" s="11" t="s">
        <v>442</v>
      </c>
      <c r="N36" s="11" t="s">
        <v>443</v>
      </c>
      <c r="O36" s="12" t="s">
        <v>444</v>
      </c>
      <c r="P36" s="12" t="s">
        <v>445</v>
      </c>
    </row>
    <row r="37" customFormat="false" ht="46.25" hidden="false" customHeight="false" outlineLevel="0" collapsed="false">
      <c r="C37" s="11" t="s">
        <v>502</v>
      </c>
      <c r="D37" s="11" t="s">
        <v>487</v>
      </c>
      <c r="E37" s="11" t="s">
        <v>466</v>
      </c>
      <c r="F37" s="12" t="s">
        <v>503</v>
      </c>
      <c r="G37" s="12" t="s">
        <v>489</v>
      </c>
      <c r="H37" s="11" t="n">
        <v>1</v>
      </c>
      <c r="I37" s="11" t="s">
        <v>441</v>
      </c>
      <c r="J37" s="13" t="n">
        <v>500000</v>
      </c>
      <c r="K37" s="13" t="n">
        <v>500000</v>
      </c>
      <c r="L37" s="16" t="n">
        <f aca="false">K37/$K$110</f>
        <v>0.0125</v>
      </c>
      <c r="M37" s="11" t="s">
        <v>442</v>
      </c>
      <c r="N37" s="11" t="s">
        <v>443</v>
      </c>
      <c r="O37" s="12" t="s">
        <v>444</v>
      </c>
      <c r="P37" s="12" t="s">
        <v>445</v>
      </c>
    </row>
    <row r="38" customFormat="false" ht="46.25" hidden="false" customHeight="false" outlineLevel="0" collapsed="false">
      <c r="C38" s="11" t="s">
        <v>504</v>
      </c>
      <c r="D38" s="11" t="s">
        <v>487</v>
      </c>
      <c r="E38" s="11" t="s">
        <v>466</v>
      </c>
      <c r="F38" s="12" t="s">
        <v>505</v>
      </c>
      <c r="G38" s="12" t="s">
        <v>489</v>
      </c>
      <c r="H38" s="11" t="n">
        <v>1</v>
      </c>
      <c r="I38" s="11" t="s">
        <v>441</v>
      </c>
      <c r="J38" s="13" t="n">
        <v>460000</v>
      </c>
      <c r="K38" s="13" t="n">
        <v>460000</v>
      </c>
      <c r="L38" s="16" t="n">
        <f aca="false">K38/$K$110</f>
        <v>0.0115</v>
      </c>
      <c r="M38" s="11" t="s">
        <v>442</v>
      </c>
      <c r="N38" s="11" t="s">
        <v>443</v>
      </c>
      <c r="O38" s="12" t="s">
        <v>444</v>
      </c>
      <c r="P38" s="12" t="s">
        <v>445</v>
      </c>
    </row>
    <row r="39" customFormat="false" ht="46.25" hidden="false" customHeight="false" outlineLevel="0" collapsed="false">
      <c r="C39" s="11" t="s">
        <v>506</v>
      </c>
      <c r="D39" s="11" t="s">
        <v>487</v>
      </c>
      <c r="E39" s="11" t="s">
        <v>466</v>
      </c>
      <c r="F39" s="12" t="s">
        <v>507</v>
      </c>
      <c r="G39" s="12" t="s">
        <v>489</v>
      </c>
      <c r="H39" s="11" t="n">
        <v>1</v>
      </c>
      <c r="I39" s="11" t="s">
        <v>441</v>
      </c>
      <c r="J39" s="13" t="n">
        <v>400000</v>
      </c>
      <c r="K39" s="13" t="n">
        <v>400000</v>
      </c>
      <c r="L39" s="16" t="n">
        <f aca="false">K39/$K$110</f>
        <v>0.01</v>
      </c>
      <c r="M39" s="11" t="s">
        <v>442</v>
      </c>
      <c r="N39" s="11" t="s">
        <v>443</v>
      </c>
      <c r="O39" s="12" t="s">
        <v>444</v>
      </c>
      <c r="P39" s="12" t="s">
        <v>445</v>
      </c>
    </row>
    <row r="40" customFormat="false" ht="46.25" hidden="false" customHeight="false" outlineLevel="0" collapsed="false">
      <c r="C40" s="11" t="s">
        <v>508</v>
      </c>
      <c r="D40" s="11" t="s">
        <v>487</v>
      </c>
      <c r="E40" s="11" t="s">
        <v>466</v>
      </c>
      <c r="F40" s="12" t="s">
        <v>509</v>
      </c>
      <c r="G40" s="12" t="s">
        <v>489</v>
      </c>
      <c r="H40" s="11" t="n">
        <v>1</v>
      </c>
      <c r="I40" s="11" t="s">
        <v>441</v>
      </c>
      <c r="J40" s="13" t="n">
        <v>900000</v>
      </c>
      <c r="K40" s="13" t="n">
        <v>900000</v>
      </c>
      <c r="L40" s="16" t="n">
        <f aca="false">K40/$K$110</f>
        <v>0.0225</v>
      </c>
      <c r="M40" s="11" t="s">
        <v>442</v>
      </c>
      <c r="N40" s="11" t="s">
        <v>443</v>
      </c>
      <c r="O40" s="12" t="s">
        <v>444</v>
      </c>
      <c r="P40" s="12" t="s">
        <v>445</v>
      </c>
    </row>
    <row r="41" customFormat="false" ht="46.25" hidden="false" customHeight="false" outlineLevel="0" collapsed="false">
      <c r="C41" s="11" t="s">
        <v>510</v>
      </c>
      <c r="D41" s="11" t="s">
        <v>487</v>
      </c>
      <c r="E41" s="11" t="s">
        <v>466</v>
      </c>
      <c r="F41" s="12" t="s">
        <v>511</v>
      </c>
      <c r="G41" s="12" t="s">
        <v>489</v>
      </c>
      <c r="H41" s="11" t="n">
        <v>1</v>
      </c>
      <c r="I41" s="11" t="s">
        <v>441</v>
      </c>
      <c r="J41" s="13" t="n">
        <v>900000</v>
      </c>
      <c r="K41" s="13" t="n">
        <v>900000</v>
      </c>
      <c r="L41" s="16" t="n">
        <f aca="false">K41/$K$110</f>
        <v>0.0225</v>
      </c>
      <c r="M41" s="11" t="s">
        <v>442</v>
      </c>
      <c r="N41" s="11" t="s">
        <v>443</v>
      </c>
      <c r="O41" s="12" t="s">
        <v>444</v>
      </c>
      <c r="P41" s="12" t="s">
        <v>445</v>
      </c>
    </row>
    <row r="42" customFormat="false" ht="46.25" hidden="false" customHeight="false" outlineLevel="0" collapsed="false">
      <c r="C42" s="11" t="s">
        <v>512</v>
      </c>
      <c r="D42" s="11" t="s">
        <v>487</v>
      </c>
      <c r="E42" s="11" t="s">
        <v>466</v>
      </c>
      <c r="F42" s="12" t="s">
        <v>513</v>
      </c>
      <c r="G42" s="12" t="s">
        <v>489</v>
      </c>
      <c r="H42" s="11" t="n">
        <v>1</v>
      </c>
      <c r="I42" s="11" t="s">
        <v>441</v>
      </c>
      <c r="J42" s="13" t="n">
        <v>900000</v>
      </c>
      <c r="K42" s="13" t="n">
        <v>900000</v>
      </c>
      <c r="L42" s="16" t="n">
        <f aca="false">K42/$K$110</f>
        <v>0.0225</v>
      </c>
      <c r="M42" s="11" t="s">
        <v>442</v>
      </c>
      <c r="N42" s="11" t="s">
        <v>443</v>
      </c>
      <c r="O42" s="12" t="s">
        <v>444</v>
      </c>
      <c r="P42" s="12" t="s">
        <v>445</v>
      </c>
    </row>
    <row r="43" customFormat="false" ht="46.25" hidden="false" customHeight="false" outlineLevel="0" collapsed="false">
      <c r="C43" s="11" t="s">
        <v>514</v>
      </c>
      <c r="D43" s="11" t="s">
        <v>487</v>
      </c>
      <c r="E43" s="11" t="s">
        <v>466</v>
      </c>
      <c r="F43" s="12" t="s">
        <v>515</v>
      </c>
      <c r="G43" s="12" t="s">
        <v>489</v>
      </c>
      <c r="H43" s="11" t="n">
        <v>1</v>
      </c>
      <c r="I43" s="11" t="s">
        <v>441</v>
      </c>
      <c r="J43" s="13" t="n">
        <v>550000</v>
      </c>
      <c r="K43" s="13" t="n">
        <v>550000</v>
      </c>
      <c r="L43" s="16" t="n">
        <f aca="false">K43/$K$110</f>
        <v>0.01375</v>
      </c>
      <c r="M43" s="11" t="s">
        <v>442</v>
      </c>
      <c r="N43" s="11" t="s">
        <v>443</v>
      </c>
      <c r="O43" s="12" t="s">
        <v>444</v>
      </c>
      <c r="P43" s="12" t="s">
        <v>445</v>
      </c>
    </row>
    <row r="44" customFormat="false" ht="46.25" hidden="false" customHeight="false" outlineLevel="0" collapsed="false">
      <c r="C44" s="11" t="s">
        <v>516</v>
      </c>
      <c r="D44" s="11" t="s">
        <v>487</v>
      </c>
      <c r="E44" s="11" t="s">
        <v>466</v>
      </c>
      <c r="F44" s="12" t="s">
        <v>517</v>
      </c>
      <c r="G44" s="12" t="s">
        <v>489</v>
      </c>
      <c r="H44" s="11" t="n">
        <v>1</v>
      </c>
      <c r="I44" s="11" t="s">
        <v>441</v>
      </c>
      <c r="J44" s="13" t="n">
        <v>350000</v>
      </c>
      <c r="K44" s="13" t="n">
        <v>350000</v>
      </c>
      <c r="L44" s="16" t="n">
        <f aca="false">K44/$K$110</f>
        <v>0.00875</v>
      </c>
      <c r="M44" s="11" t="s">
        <v>442</v>
      </c>
      <c r="N44" s="11" t="s">
        <v>443</v>
      </c>
      <c r="O44" s="12" t="s">
        <v>444</v>
      </c>
      <c r="P44" s="12" t="s">
        <v>445</v>
      </c>
    </row>
    <row r="45" customFormat="false" ht="46.25" hidden="false" customHeight="false" outlineLevel="0" collapsed="false">
      <c r="C45" s="11" t="s">
        <v>518</v>
      </c>
      <c r="D45" s="11" t="s">
        <v>487</v>
      </c>
      <c r="E45" s="11" t="s">
        <v>466</v>
      </c>
      <c r="F45" s="12" t="s">
        <v>519</v>
      </c>
      <c r="G45" s="12" t="s">
        <v>489</v>
      </c>
      <c r="H45" s="11" t="n">
        <v>1</v>
      </c>
      <c r="I45" s="11" t="s">
        <v>441</v>
      </c>
      <c r="J45" s="13" t="n">
        <v>200000</v>
      </c>
      <c r="K45" s="13" t="n">
        <v>200000</v>
      </c>
      <c r="L45" s="16" t="n">
        <f aca="false">K45/$K$110</f>
        <v>0.005</v>
      </c>
      <c r="M45" s="11" t="s">
        <v>442</v>
      </c>
      <c r="N45" s="11" t="s">
        <v>443</v>
      </c>
      <c r="O45" s="12" t="s">
        <v>444</v>
      </c>
      <c r="P45" s="12" t="s">
        <v>445</v>
      </c>
    </row>
    <row r="46" customFormat="false" ht="46.25" hidden="false" customHeight="false" outlineLevel="0" collapsed="false">
      <c r="C46" s="11" t="s">
        <v>520</v>
      </c>
      <c r="D46" s="11" t="s">
        <v>487</v>
      </c>
      <c r="E46" s="11" t="s">
        <v>466</v>
      </c>
      <c r="F46" s="12" t="s">
        <v>521</v>
      </c>
      <c r="G46" s="12" t="s">
        <v>489</v>
      </c>
      <c r="H46" s="11" t="n">
        <v>1</v>
      </c>
      <c r="I46" s="11" t="s">
        <v>441</v>
      </c>
      <c r="J46" s="13" t="n">
        <v>650000</v>
      </c>
      <c r="K46" s="13" t="n">
        <v>650000</v>
      </c>
      <c r="L46" s="16" t="n">
        <f aca="false">K46/$K$110</f>
        <v>0.01625</v>
      </c>
      <c r="M46" s="11" t="s">
        <v>442</v>
      </c>
      <c r="N46" s="11" t="s">
        <v>443</v>
      </c>
      <c r="O46" s="12" t="s">
        <v>444</v>
      </c>
      <c r="P46" s="12" t="s">
        <v>445</v>
      </c>
    </row>
    <row r="47" customFormat="false" ht="46.25" hidden="false" customHeight="false" outlineLevel="0" collapsed="false">
      <c r="C47" s="11" t="s">
        <v>522</v>
      </c>
      <c r="D47" s="11" t="s">
        <v>487</v>
      </c>
      <c r="E47" s="11" t="s">
        <v>466</v>
      </c>
      <c r="F47" s="12" t="s">
        <v>523</v>
      </c>
      <c r="G47" s="12" t="s">
        <v>489</v>
      </c>
      <c r="H47" s="11" t="n">
        <v>1</v>
      </c>
      <c r="I47" s="11" t="s">
        <v>441</v>
      </c>
      <c r="J47" s="13" t="n">
        <v>670000</v>
      </c>
      <c r="K47" s="13" t="n">
        <v>670000</v>
      </c>
      <c r="L47" s="16" t="n">
        <f aca="false">K47/$K$110</f>
        <v>0.01675</v>
      </c>
      <c r="M47" s="11" t="s">
        <v>442</v>
      </c>
      <c r="N47" s="11" t="s">
        <v>443</v>
      </c>
      <c r="O47" s="12" t="s">
        <v>444</v>
      </c>
      <c r="P47" s="12" t="s">
        <v>445</v>
      </c>
    </row>
    <row r="48" customFormat="false" ht="46.25" hidden="false" customHeight="false" outlineLevel="0" collapsed="false">
      <c r="C48" s="11" t="s">
        <v>524</v>
      </c>
      <c r="D48" s="11" t="s">
        <v>487</v>
      </c>
      <c r="E48" s="11" t="s">
        <v>466</v>
      </c>
      <c r="F48" s="12" t="s">
        <v>525</v>
      </c>
      <c r="G48" s="12" t="s">
        <v>489</v>
      </c>
      <c r="H48" s="11" t="n">
        <v>1</v>
      </c>
      <c r="I48" s="11" t="s">
        <v>441</v>
      </c>
      <c r="J48" s="13" t="n">
        <v>700000</v>
      </c>
      <c r="K48" s="13" t="n">
        <v>700000</v>
      </c>
      <c r="L48" s="16" t="n">
        <f aca="false">K48/$K$110</f>
        <v>0.0175</v>
      </c>
      <c r="M48" s="11" t="s">
        <v>442</v>
      </c>
      <c r="N48" s="11" t="s">
        <v>443</v>
      </c>
      <c r="O48" s="12" t="s">
        <v>444</v>
      </c>
      <c r="P48" s="12" t="s">
        <v>445</v>
      </c>
    </row>
    <row r="49" customFormat="false" ht="46.25" hidden="false" customHeight="false" outlineLevel="0" collapsed="false">
      <c r="C49" s="11" t="s">
        <v>526</v>
      </c>
      <c r="D49" s="11" t="s">
        <v>487</v>
      </c>
      <c r="E49" s="11" t="s">
        <v>466</v>
      </c>
      <c r="F49" s="12" t="s">
        <v>527</v>
      </c>
      <c r="G49" s="12" t="s">
        <v>489</v>
      </c>
      <c r="H49" s="11" t="n">
        <v>1</v>
      </c>
      <c r="I49" s="11" t="s">
        <v>441</v>
      </c>
      <c r="J49" s="13" t="n">
        <v>700000</v>
      </c>
      <c r="K49" s="13" t="n">
        <v>700000</v>
      </c>
      <c r="L49" s="16" t="n">
        <f aca="false">K49/$K$110</f>
        <v>0.0175</v>
      </c>
      <c r="M49" s="11" t="s">
        <v>442</v>
      </c>
      <c r="N49" s="11" t="s">
        <v>443</v>
      </c>
      <c r="O49" s="12" t="s">
        <v>444</v>
      </c>
      <c r="P49" s="12" t="s">
        <v>445</v>
      </c>
    </row>
    <row r="50" customFormat="false" ht="46.25" hidden="false" customHeight="false" outlineLevel="0" collapsed="false">
      <c r="C50" s="11" t="s">
        <v>528</v>
      </c>
      <c r="D50" s="11" t="s">
        <v>487</v>
      </c>
      <c r="E50" s="11" t="s">
        <v>466</v>
      </c>
      <c r="F50" s="12" t="s">
        <v>529</v>
      </c>
      <c r="G50" s="12" t="s">
        <v>489</v>
      </c>
      <c r="H50" s="11" t="n">
        <v>1</v>
      </c>
      <c r="I50" s="11" t="s">
        <v>441</v>
      </c>
      <c r="J50" s="13" t="n">
        <v>400000</v>
      </c>
      <c r="K50" s="13" t="n">
        <v>400000</v>
      </c>
      <c r="L50" s="16" t="n">
        <f aca="false">K50/$K$110</f>
        <v>0.01</v>
      </c>
      <c r="M50" s="11" t="s">
        <v>442</v>
      </c>
      <c r="N50" s="11" t="s">
        <v>443</v>
      </c>
      <c r="O50" s="12" t="s">
        <v>444</v>
      </c>
      <c r="P50" s="12" t="s">
        <v>445</v>
      </c>
    </row>
    <row r="51" customFormat="false" ht="46.25" hidden="false" customHeight="false" outlineLevel="0" collapsed="false">
      <c r="C51" s="11" t="s">
        <v>530</v>
      </c>
      <c r="D51" s="11" t="s">
        <v>487</v>
      </c>
      <c r="E51" s="11" t="s">
        <v>466</v>
      </c>
      <c r="F51" s="12" t="s">
        <v>531</v>
      </c>
      <c r="G51" s="12" t="s">
        <v>489</v>
      </c>
      <c r="H51" s="11" t="n">
        <v>1</v>
      </c>
      <c r="I51" s="11" t="s">
        <v>441</v>
      </c>
      <c r="J51" s="13" t="n">
        <v>800000</v>
      </c>
      <c r="K51" s="13" t="n">
        <v>800000</v>
      </c>
      <c r="L51" s="16" t="n">
        <f aca="false">K51/$K$110</f>
        <v>0.02</v>
      </c>
      <c r="M51" s="11" t="s">
        <v>442</v>
      </c>
      <c r="N51" s="11" t="s">
        <v>443</v>
      </c>
      <c r="O51" s="12" t="s">
        <v>444</v>
      </c>
      <c r="P51" s="12" t="s">
        <v>445</v>
      </c>
    </row>
    <row r="52" customFormat="false" ht="46.25" hidden="false" customHeight="false" outlineLevel="0" collapsed="false">
      <c r="C52" s="11" t="s">
        <v>532</v>
      </c>
      <c r="D52" s="11" t="s">
        <v>487</v>
      </c>
      <c r="E52" s="11" t="s">
        <v>466</v>
      </c>
      <c r="F52" s="12" t="s">
        <v>533</v>
      </c>
      <c r="G52" s="12" t="s">
        <v>489</v>
      </c>
      <c r="H52" s="11" t="n">
        <v>1</v>
      </c>
      <c r="I52" s="11" t="s">
        <v>441</v>
      </c>
      <c r="J52" s="13" t="n">
        <v>900000</v>
      </c>
      <c r="K52" s="13" t="n">
        <v>900000</v>
      </c>
      <c r="L52" s="16" t="n">
        <f aca="false">K52/$K$110</f>
        <v>0.0225</v>
      </c>
      <c r="M52" s="11" t="s">
        <v>442</v>
      </c>
      <c r="N52" s="11" t="s">
        <v>443</v>
      </c>
      <c r="O52" s="12" t="s">
        <v>444</v>
      </c>
      <c r="P52" s="12" t="s">
        <v>445</v>
      </c>
    </row>
    <row r="53" customFormat="false" ht="46.25" hidden="false" customHeight="false" outlineLevel="0" collapsed="false">
      <c r="C53" s="11" t="s">
        <v>534</v>
      </c>
      <c r="D53" s="11" t="s">
        <v>487</v>
      </c>
      <c r="E53" s="11" t="s">
        <v>466</v>
      </c>
      <c r="F53" s="12" t="s">
        <v>535</v>
      </c>
      <c r="G53" s="12" t="s">
        <v>489</v>
      </c>
      <c r="H53" s="11" t="n">
        <v>1</v>
      </c>
      <c r="I53" s="11" t="s">
        <v>441</v>
      </c>
      <c r="J53" s="13" t="n">
        <v>600000</v>
      </c>
      <c r="K53" s="13" t="n">
        <v>600000</v>
      </c>
      <c r="L53" s="16" t="n">
        <f aca="false">K53/$K$110</f>
        <v>0.015</v>
      </c>
      <c r="M53" s="11" t="s">
        <v>442</v>
      </c>
      <c r="N53" s="11" t="s">
        <v>443</v>
      </c>
      <c r="O53" s="12" t="s">
        <v>444</v>
      </c>
      <c r="P53" s="12" t="s">
        <v>445</v>
      </c>
    </row>
    <row r="54" customFormat="false" ht="46.25" hidden="false" customHeight="false" outlineLevel="0" collapsed="false">
      <c r="C54" s="11" t="s">
        <v>536</v>
      </c>
      <c r="D54" s="11" t="s">
        <v>487</v>
      </c>
      <c r="E54" s="11" t="s">
        <v>466</v>
      </c>
      <c r="F54" s="12" t="s">
        <v>537</v>
      </c>
      <c r="G54" s="12" t="s">
        <v>489</v>
      </c>
      <c r="H54" s="11" t="n">
        <v>1</v>
      </c>
      <c r="I54" s="11" t="s">
        <v>441</v>
      </c>
      <c r="J54" s="13" t="n">
        <v>800000</v>
      </c>
      <c r="K54" s="13" t="n">
        <v>800000</v>
      </c>
      <c r="L54" s="16" t="n">
        <f aca="false">K54/$K$110</f>
        <v>0.02</v>
      </c>
      <c r="M54" s="11" t="s">
        <v>442</v>
      </c>
      <c r="N54" s="11" t="s">
        <v>443</v>
      </c>
      <c r="O54" s="12" t="s">
        <v>444</v>
      </c>
      <c r="P54" s="12" t="s">
        <v>445</v>
      </c>
    </row>
    <row r="55" customFormat="false" ht="46.25" hidden="false" customHeight="false" outlineLevel="0" collapsed="false">
      <c r="C55" s="11" t="s">
        <v>538</v>
      </c>
      <c r="D55" s="11" t="s">
        <v>487</v>
      </c>
      <c r="E55" s="11" t="s">
        <v>466</v>
      </c>
      <c r="F55" s="12" t="s">
        <v>539</v>
      </c>
      <c r="G55" s="12" t="s">
        <v>489</v>
      </c>
      <c r="H55" s="11" t="n">
        <v>1</v>
      </c>
      <c r="I55" s="11" t="s">
        <v>441</v>
      </c>
      <c r="J55" s="13" t="n">
        <v>500000</v>
      </c>
      <c r="K55" s="13" t="n">
        <v>500000</v>
      </c>
      <c r="L55" s="16" t="n">
        <f aca="false">K55/$K$110</f>
        <v>0.0125</v>
      </c>
      <c r="M55" s="11" t="s">
        <v>442</v>
      </c>
      <c r="N55" s="11" t="s">
        <v>443</v>
      </c>
      <c r="O55" s="12" t="s">
        <v>444</v>
      </c>
      <c r="P55" s="12" t="s">
        <v>445</v>
      </c>
    </row>
    <row r="56" customFormat="false" ht="46.25" hidden="false" customHeight="false" outlineLevel="0" collapsed="false">
      <c r="C56" s="11" t="s">
        <v>540</v>
      </c>
      <c r="D56" s="11" t="s">
        <v>487</v>
      </c>
      <c r="E56" s="11" t="s">
        <v>466</v>
      </c>
      <c r="F56" s="12" t="s">
        <v>541</v>
      </c>
      <c r="G56" s="12" t="s">
        <v>489</v>
      </c>
      <c r="H56" s="11" t="n">
        <v>1</v>
      </c>
      <c r="I56" s="11" t="s">
        <v>441</v>
      </c>
      <c r="J56" s="13" t="n">
        <v>800000</v>
      </c>
      <c r="K56" s="13" t="n">
        <v>800000</v>
      </c>
      <c r="L56" s="16" t="n">
        <f aca="false">K56/$K$110</f>
        <v>0.02</v>
      </c>
      <c r="M56" s="11" t="s">
        <v>442</v>
      </c>
      <c r="N56" s="11" t="s">
        <v>443</v>
      </c>
      <c r="O56" s="12" t="s">
        <v>444</v>
      </c>
      <c r="P56" s="12" t="s">
        <v>445</v>
      </c>
    </row>
    <row r="57" customFormat="false" ht="46.25" hidden="false" customHeight="false" outlineLevel="0" collapsed="false">
      <c r="C57" s="11" t="s">
        <v>542</v>
      </c>
      <c r="D57" s="11" t="s">
        <v>487</v>
      </c>
      <c r="E57" s="11" t="s">
        <v>466</v>
      </c>
      <c r="F57" s="12" t="s">
        <v>543</v>
      </c>
      <c r="G57" s="12" t="s">
        <v>489</v>
      </c>
      <c r="H57" s="11" t="n">
        <v>1</v>
      </c>
      <c r="I57" s="11" t="s">
        <v>441</v>
      </c>
      <c r="J57" s="13" t="n">
        <v>480000</v>
      </c>
      <c r="K57" s="13" t="n">
        <v>480000</v>
      </c>
      <c r="L57" s="16" t="n">
        <f aca="false">K57/$K$110</f>
        <v>0.012</v>
      </c>
      <c r="M57" s="11" t="s">
        <v>442</v>
      </c>
      <c r="N57" s="11" t="s">
        <v>443</v>
      </c>
      <c r="O57" s="12" t="s">
        <v>444</v>
      </c>
      <c r="P57" s="12" t="s">
        <v>445</v>
      </c>
    </row>
    <row r="58" customFormat="false" ht="46.25" hidden="false" customHeight="false" outlineLevel="0" collapsed="false">
      <c r="C58" s="11" t="s">
        <v>544</v>
      </c>
      <c r="D58" s="11" t="s">
        <v>487</v>
      </c>
      <c r="E58" s="11" t="s">
        <v>466</v>
      </c>
      <c r="F58" s="12" t="s">
        <v>545</v>
      </c>
      <c r="G58" s="12" t="s">
        <v>489</v>
      </c>
      <c r="H58" s="11" t="n">
        <v>1</v>
      </c>
      <c r="I58" s="11" t="s">
        <v>441</v>
      </c>
      <c r="J58" s="13" t="n">
        <v>1100000</v>
      </c>
      <c r="K58" s="13" t="n">
        <v>1100000</v>
      </c>
      <c r="L58" s="16" t="n">
        <f aca="false">K58/$K$110</f>
        <v>0.0275</v>
      </c>
      <c r="M58" s="11" t="s">
        <v>442</v>
      </c>
      <c r="N58" s="11" t="s">
        <v>443</v>
      </c>
      <c r="O58" s="12" t="s">
        <v>444</v>
      </c>
      <c r="P58" s="12" t="s">
        <v>445</v>
      </c>
    </row>
    <row r="59" customFormat="false" ht="46.25" hidden="false" customHeight="false" outlineLevel="0" collapsed="false">
      <c r="C59" s="11" t="s">
        <v>546</v>
      </c>
      <c r="D59" s="11" t="s">
        <v>487</v>
      </c>
      <c r="E59" s="11" t="s">
        <v>466</v>
      </c>
      <c r="F59" s="12" t="s">
        <v>547</v>
      </c>
      <c r="G59" s="12" t="s">
        <v>489</v>
      </c>
      <c r="H59" s="11" t="n">
        <v>1</v>
      </c>
      <c r="I59" s="11" t="s">
        <v>441</v>
      </c>
      <c r="J59" s="13" t="n">
        <v>440000</v>
      </c>
      <c r="K59" s="13" t="n">
        <v>440000</v>
      </c>
      <c r="L59" s="16" t="n">
        <f aca="false">K59/$K$110</f>
        <v>0.011</v>
      </c>
      <c r="M59" s="11" t="s">
        <v>442</v>
      </c>
      <c r="N59" s="11" t="s">
        <v>443</v>
      </c>
      <c r="O59" s="12" t="s">
        <v>444</v>
      </c>
      <c r="P59" s="12" t="s">
        <v>445</v>
      </c>
    </row>
    <row r="60" customFormat="false" ht="46.25" hidden="false" customHeight="false" outlineLevel="0" collapsed="false">
      <c r="C60" s="11" t="s">
        <v>548</v>
      </c>
      <c r="D60" s="11" t="s">
        <v>487</v>
      </c>
      <c r="E60" s="11" t="s">
        <v>466</v>
      </c>
      <c r="F60" s="12" t="s">
        <v>549</v>
      </c>
      <c r="G60" s="12" t="s">
        <v>489</v>
      </c>
      <c r="H60" s="11" t="n">
        <v>1</v>
      </c>
      <c r="I60" s="11" t="s">
        <v>441</v>
      </c>
      <c r="J60" s="13" t="n">
        <v>500000</v>
      </c>
      <c r="K60" s="13" t="n">
        <v>500000</v>
      </c>
      <c r="L60" s="16" t="n">
        <f aca="false">K60/$K$110</f>
        <v>0.0125</v>
      </c>
      <c r="M60" s="11" t="s">
        <v>442</v>
      </c>
      <c r="N60" s="11" t="s">
        <v>443</v>
      </c>
      <c r="O60" s="12" t="s">
        <v>444</v>
      </c>
      <c r="P60" s="12" t="s">
        <v>445</v>
      </c>
    </row>
    <row r="61" customFormat="false" ht="46.25" hidden="false" customHeight="false" outlineLevel="0" collapsed="false">
      <c r="C61" s="11" t="s">
        <v>550</v>
      </c>
      <c r="D61" s="11" t="s">
        <v>487</v>
      </c>
      <c r="E61" s="11" t="s">
        <v>466</v>
      </c>
      <c r="F61" s="12" t="s">
        <v>551</v>
      </c>
      <c r="G61" s="12" t="s">
        <v>489</v>
      </c>
      <c r="H61" s="11" t="n">
        <v>1</v>
      </c>
      <c r="I61" s="11" t="s">
        <v>441</v>
      </c>
      <c r="J61" s="13" t="n">
        <v>400000</v>
      </c>
      <c r="K61" s="13" t="n">
        <v>400000</v>
      </c>
      <c r="L61" s="16" t="n">
        <f aca="false">K61/$K$110</f>
        <v>0.01</v>
      </c>
      <c r="M61" s="11" t="s">
        <v>442</v>
      </c>
      <c r="N61" s="11" t="s">
        <v>443</v>
      </c>
      <c r="O61" s="12" t="s">
        <v>444</v>
      </c>
      <c r="P61" s="12" t="s">
        <v>445</v>
      </c>
    </row>
    <row r="62" customFormat="false" ht="46.25" hidden="false" customHeight="false" outlineLevel="0" collapsed="false">
      <c r="C62" s="11" t="s">
        <v>552</v>
      </c>
      <c r="D62" s="11" t="s">
        <v>487</v>
      </c>
      <c r="E62" s="11" t="s">
        <v>466</v>
      </c>
      <c r="F62" s="12" t="s">
        <v>553</v>
      </c>
      <c r="G62" s="12" t="s">
        <v>489</v>
      </c>
      <c r="H62" s="11" t="n">
        <v>1</v>
      </c>
      <c r="I62" s="11" t="s">
        <v>441</v>
      </c>
      <c r="J62" s="13" t="n">
        <v>380000</v>
      </c>
      <c r="K62" s="13" t="n">
        <v>380000</v>
      </c>
      <c r="L62" s="16" t="n">
        <f aca="false">K62/$K$110</f>
        <v>0.0095</v>
      </c>
      <c r="M62" s="11" t="s">
        <v>442</v>
      </c>
      <c r="N62" s="11" t="s">
        <v>443</v>
      </c>
      <c r="O62" s="12" t="s">
        <v>444</v>
      </c>
      <c r="P62" s="12" t="s">
        <v>445</v>
      </c>
    </row>
    <row r="63" customFormat="false" ht="46.25" hidden="false" customHeight="false" outlineLevel="0" collapsed="false">
      <c r="C63" s="11" t="s">
        <v>554</v>
      </c>
      <c r="D63" s="11" t="s">
        <v>487</v>
      </c>
      <c r="E63" s="11" t="s">
        <v>466</v>
      </c>
      <c r="F63" s="12" t="s">
        <v>555</v>
      </c>
      <c r="G63" s="12" t="s">
        <v>489</v>
      </c>
      <c r="H63" s="11" t="n">
        <v>1</v>
      </c>
      <c r="I63" s="11" t="s">
        <v>441</v>
      </c>
      <c r="J63" s="13" t="n">
        <v>700000</v>
      </c>
      <c r="K63" s="13" t="n">
        <v>700000</v>
      </c>
      <c r="L63" s="16" t="n">
        <f aca="false">K63/$K$110</f>
        <v>0.0175</v>
      </c>
      <c r="M63" s="11" t="s">
        <v>442</v>
      </c>
      <c r="N63" s="11" t="s">
        <v>443</v>
      </c>
      <c r="O63" s="12" t="s">
        <v>444</v>
      </c>
      <c r="P63" s="12" t="s">
        <v>445</v>
      </c>
    </row>
    <row r="64" customFormat="false" ht="46.25" hidden="false" customHeight="false" outlineLevel="0" collapsed="false">
      <c r="C64" s="11" t="s">
        <v>556</v>
      </c>
      <c r="D64" s="11" t="s">
        <v>487</v>
      </c>
      <c r="E64" s="11" t="s">
        <v>466</v>
      </c>
      <c r="F64" s="12" t="s">
        <v>557</v>
      </c>
      <c r="G64" s="12" t="s">
        <v>440</v>
      </c>
      <c r="H64" s="11" t="n">
        <v>1</v>
      </c>
      <c r="I64" s="11" t="s">
        <v>441</v>
      </c>
      <c r="J64" s="13" t="n">
        <v>500000</v>
      </c>
      <c r="K64" s="13" t="n">
        <v>500000</v>
      </c>
      <c r="L64" s="16" t="n">
        <f aca="false">K64/$K$110</f>
        <v>0.0125</v>
      </c>
      <c r="M64" s="11" t="s">
        <v>442</v>
      </c>
      <c r="N64" s="11" t="s">
        <v>443</v>
      </c>
      <c r="O64" s="12" t="s">
        <v>444</v>
      </c>
      <c r="P64" s="12" t="s">
        <v>445</v>
      </c>
    </row>
    <row r="65" customFormat="false" ht="46.25" hidden="false" customHeight="false" outlineLevel="0" collapsed="false">
      <c r="C65" s="11" t="s">
        <v>558</v>
      </c>
      <c r="D65" s="11" t="s">
        <v>487</v>
      </c>
      <c r="E65" s="11" t="s">
        <v>466</v>
      </c>
      <c r="F65" s="12" t="s">
        <v>559</v>
      </c>
      <c r="G65" s="12" t="s">
        <v>440</v>
      </c>
      <c r="H65" s="11" t="n">
        <v>1</v>
      </c>
      <c r="I65" s="11" t="s">
        <v>441</v>
      </c>
      <c r="J65" s="13" t="n">
        <v>340000</v>
      </c>
      <c r="K65" s="13" t="n">
        <v>340000</v>
      </c>
      <c r="L65" s="16" t="n">
        <f aca="false">K65/$K$110</f>
        <v>0.0085</v>
      </c>
      <c r="M65" s="11" t="s">
        <v>442</v>
      </c>
      <c r="N65" s="11" t="s">
        <v>443</v>
      </c>
      <c r="O65" s="12" t="s">
        <v>444</v>
      </c>
      <c r="P65" s="12" t="s">
        <v>445</v>
      </c>
    </row>
    <row r="66" customFormat="false" ht="46.25" hidden="false" customHeight="false" outlineLevel="0" collapsed="false">
      <c r="C66" s="11" t="s">
        <v>560</v>
      </c>
      <c r="D66" s="11" t="s">
        <v>487</v>
      </c>
      <c r="E66" s="11" t="s">
        <v>561</v>
      </c>
      <c r="F66" s="12" t="s">
        <v>562</v>
      </c>
      <c r="G66" s="12" t="s">
        <v>489</v>
      </c>
      <c r="H66" s="11" t="n">
        <v>1</v>
      </c>
      <c r="I66" s="11" t="s">
        <v>441</v>
      </c>
      <c r="J66" s="13" t="n">
        <v>750000</v>
      </c>
      <c r="K66" s="13" t="n">
        <v>750000</v>
      </c>
      <c r="L66" s="16" t="n">
        <f aca="false">K66/$K$110</f>
        <v>0.01875</v>
      </c>
      <c r="M66" s="11" t="s">
        <v>442</v>
      </c>
      <c r="N66" s="11" t="s">
        <v>443</v>
      </c>
      <c r="O66" s="12" t="s">
        <v>444</v>
      </c>
      <c r="P66" s="12" t="s">
        <v>445</v>
      </c>
    </row>
    <row r="67" customFormat="false" ht="46.25" hidden="false" customHeight="false" outlineLevel="0" collapsed="false">
      <c r="C67" s="11" t="s">
        <v>563</v>
      </c>
      <c r="D67" s="11" t="s">
        <v>487</v>
      </c>
      <c r="E67" s="11" t="s">
        <v>561</v>
      </c>
      <c r="F67" s="12" t="s">
        <v>564</v>
      </c>
      <c r="G67" s="12" t="s">
        <v>489</v>
      </c>
      <c r="H67" s="11" t="n">
        <v>1</v>
      </c>
      <c r="I67" s="11" t="s">
        <v>441</v>
      </c>
      <c r="J67" s="13" t="n">
        <v>500000</v>
      </c>
      <c r="K67" s="13" t="n">
        <v>500000</v>
      </c>
      <c r="L67" s="16" t="n">
        <f aca="false">K67/$K$110</f>
        <v>0.0125</v>
      </c>
      <c r="M67" s="11" t="s">
        <v>442</v>
      </c>
      <c r="N67" s="11" t="s">
        <v>443</v>
      </c>
      <c r="O67" s="12" t="s">
        <v>444</v>
      </c>
      <c r="P67" s="12" t="s">
        <v>445</v>
      </c>
    </row>
    <row r="68" customFormat="false" ht="46.25" hidden="false" customHeight="false" outlineLevel="0" collapsed="false">
      <c r="C68" s="11" t="s">
        <v>565</v>
      </c>
      <c r="D68" s="11" t="s">
        <v>487</v>
      </c>
      <c r="E68" s="11" t="s">
        <v>566</v>
      </c>
      <c r="F68" s="12" t="s">
        <v>567</v>
      </c>
      <c r="G68" s="12" t="s">
        <v>489</v>
      </c>
      <c r="H68" s="11" t="n">
        <v>1</v>
      </c>
      <c r="I68" s="11" t="s">
        <v>441</v>
      </c>
      <c r="J68" s="13" t="n">
        <v>500000</v>
      </c>
      <c r="K68" s="13" t="n">
        <v>500000</v>
      </c>
      <c r="L68" s="16" t="n">
        <f aca="false">K68/$K$110</f>
        <v>0.0125</v>
      </c>
      <c r="M68" s="11" t="s">
        <v>442</v>
      </c>
      <c r="N68" s="11" t="s">
        <v>443</v>
      </c>
      <c r="O68" s="12" t="s">
        <v>444</v>
      </c>
      <c r="P68" s="12" t="s">
        <v>445</v>
      </c>
    </row>
    <row r="69" customFormat="false" ht="46.25" hidden="false" customHeight="false" outlineLevel="0" collapsed="false">
      <c r="C69" s="11" t="s">
        <v>568</v>
      </c>
      <c r="D69" s="11" t="s">
        <v>487</v>
      </c>
      <c r="E69" s="11" t="s">
        <v>566</v>
      </c>
      <c r="F69" s="12" t="s">
        <v>569</v>
      </c>
      <c r="G69" s="12" t="s">
        <v>489</v>
      </c>
      <c r="H69" s="11" t="n">
        <v>1</v>
      </c>
      <c r="I69" s="11" t="s">
        <v>441</v>
      </c>
      <c r="J69" s="13" t="n">
        <v>1550000</v>
      </c>
      <c r="K69" s="13" t="n">
        <v>1550000</v>
      </c>
      <c r="L69" s="16" t="n">
        <f aca="false">K69/$K$110</f>
        <v>0.03875</v>
      </c>
      <c r="M69" s="11" t="s">
        <v>442</v>
      </c>
      <c r="N69" s="11" t="s">
        <v>443</v>
      </c>
      <c r="O69" s="12" t="s">
        <v>444</v>
      </c>
      <c r="P69" s="12" t="s">
        <v>445</v>
      </c>
    </row>
    <row r="70" customFormat="false" ht="46.25" hidden="false" customHeight="false" outlineLevel="0" collapsed="false">
      <c r="C70" s="11" t="s">
        <v>570</v>
      </c>
      <c r="D70" s="11" t="s">
        <v>571</v>
      </c>
      <c r="E70" s="11" t="s">
        <v>572</v>
      </c>
      <c r="F70" s="12" t="s">
        <v>573</v>
      </c>
      <c r="G70" s="12" t="s">
        <v>489</v>
      </c>
      <c r="H70" s="11" t="n">
        <v>1</v>
      </c>
      <c r="I70" s="11" t="s">
        <v>441</v>
      </c>
      <c r="J70" s="13" t="n">
        <v>200000</v>
      </c>
      <c r="K70" s="13" t="n">
        <v>200000</v>
      </c>
      <c r="L70" s="16" t="n">
        <f aca="false">K70/$K$110</f>
        <v>0.005</v>
      </c>
      <c r="M70" s="11" t="s">
        <v>442</v>
      </c>
      <c r="N70" s="11" t="s">
        <v>443</v>
      </c>
      <c r="O70" s="12" t="s">
        <v>444</v>
      </c>
      <c r="P70" s="12" t="s">
        <v>445</v>
      </c>
    </row>
    <row r="71" customFormat="false" ht="46.25" hidden="false" customHeight="false" outlineLevel="0" collapsed="false">
      <c r="C71" s="11" t="s">
        <v>574</v>
      </c>
      <c r="D71" s="11" t="s">
        <v>571</v>
      </c>
      <c r="E71" s="11" t="s">
        <v>572</v>
      </c>
      <c r="F71" s="12" t="s">
        <v>575</v>
      </c>
      <c r="G71" s="12" t="s">
        <v>489</v>
      </c>
      <c r="H71" s="11" t="n">
        <v>1</v>
      </c>
      <c r="I71" s="11" t="s">
        <v>441</v>
      </c>
      <c r="J71" s="13" t="n">
        <v>180000</v>
      </c>
      <c r="K71" s="13" t="n">
        <v>180000</v>
      </c>
      <c r="L71" s="16" t="n">
        <f aca="false">K71/$K$110</f>
        <v>0.0045</v>
      </c>
      <c r="M71" s="11" t="s">
        <v>442</v>
      </c>
      <c r="N71" s="11" t="s">
        <v>443</v>
      </c>
      <c r="O71" s="12" t="s">
        <v>444</v>
      </c>
      <c r="P71" s="12" t="s">
        <v>445</v>
      </c>
    </row>
    <row r="72" customFormat="false" ht="46.25" hidden="false" customHeight="false" outlineLevel="0" collapsed="false">
      <c r="C72" s="11" t="s">
        <v>576</v>
      </c>
      <c r="D72" s="11" t="s">
        <v>571</v>
      </c>
      <c r="E72" s="11" t="s">
        <v>572</v>
      </c>
      <c r="F72" s="12" t="s">
        <v>577</v>
      </c>
      <c r="G72" s="12" t="s">
        <v>489</v>
      </c>
      <c r="H72" s="11" t="n">
        <v>1</v>
      </c>
      <c r="I72" s="11" t="s">
        <v>441</v>
      </c>
      <c r="J72" s="13" t="n">
        <v>180000</v>
      </c>
      <c r="K72" s="13" t="n">
        <v>180000</v>
      </c>
      <c r="L72" s="16" t="n">
        <f aca="false">K72/$K$110</f>
        <v>0.0045</v>
      </c>
      <c r="M72" s="11" t="s">
        <v>442</v>
      </c>
      <c r="N72" s="11" t="s">
        <v>443</v>
      </c>
      <c r="O72" s="12" t="s">
        <v>444</v>
      </c>
      <c r="P72" s="12" t="s">
        <v>445</v>
      </c>
    </row>
    <row r="73" customFormat="false" ht="46.25" hidden="false" customHeight="false" outlineLevel="0" collapsed="false">
      <c r="C73" s="11" t="s">
        <v>578</v>
      </c>
      <c r="D73" s="11" t="s">
        <v>571</v>
      </c>
      <c r="E73" s="11" t="s">
        <v>572</v>
      </c>
      <c r="F73" s="12" t="s">
        <v>579</v>
      </c>
      <c r="G73" s="12" t="s">
        <v>489</v>
      </c>
      <c r="H73" s="11" t="n">
        <v>1</v>
      </c>
      <c r="I73" s="11" t="s">
        <v>441</v>
      </c>
      <c r="J73" s="13" t="n">
        <v>100000</v>
      </c>
      <c r="K73" s="13" t="n">
        <v>100000</v>
      </c>
      <c r="L73" s="16" t="n">
        <f aca="false">K73/$K$110</f>
        <v>0.0025</v>
      </c>
      <c r="M73" s="11" t="s">
        <v>442</v>
      </c>
      <c r="N73" s="11" t="s">
        <v>443</v>
      </c>
      <c r="O73" s="12" t="s">
        <v>444</v>
      </c>
      <c r="P73" s="12" t="s">
        <v>445</v>
      </c>
    </row>
    <row r="74" customFormat="false" ht="46.25" hidden="false" customHeight="false" outlineLevel="0" collapsed="false">
      <c r="C74" s="11" t="s">
        <v>580</v>
      </c>
      <c r="D74" s="11" t="s">
        <v>571</v>
      </c>
      <c r="E74" s="11" t="s">
        <v>572</v>
      </c>
      <c r="F74" s="12" t="s">
        <v>581</v>
      </c>
      <c r="G74" s="12" t="s">
        <v>489</v>
      </c>
      <c r="H74" s="11" t="n">
        <v>1</v>
      </c>
      <c r="I74" s="11" t="s">
        <v>441</v>
      </c>
      <c r="J74" s="13" t="n">
        <v>80000</v>
      </c>
      <c r="K74" s="13" t="n">
        <v>80000</v>
      </c>
      <c r="L74" s="16" t="n">
        <f aca="false">K74/$K$110</f>
        <v>0.002</v>
      </c>
      <c r="M74" s="11" t="s">
        <v>442</v>
      </c>
      <c r="N74" s="11" t="s">
        <v>443</v>
      </c>
      <c r="O74" s="12" t="s">
        <v>444</v>
      </c>
      <c r="P74" s="12" t="s">
        <v>445</v>
      </c>
    </row>
    <row r="75" customFormat="false" ht="46.25" hidden="false" customHeight="false" outlineLevel="0" collapsed="false">
      <c r="C75" s="11" t="s">
        <v>582</v>
      </c>
      <c r="D75" s="11" t="s">
        <v>571</v>
      </c>
      <c r="E75" s="11" t="s">
        <v>583</v>
      </c>
      <c r="F75" s="12" t="s">
        <v>584</v>
      </c>
      <c r="G75" s="12" t="s">
        <v>489</v>
      </c>
      <c r="H75" s="11" t="n">
        <v>1</v>
      </c>
      <c r="I75" s="11" t="s">
        <v>441</v>
      </c>
      <c r="J75" s="13" t="n">
        <v>100000</v>
      </c>
      <c r="K75" s="13" t="n">
        <v>100000</v>
      </c>
      <c r="L75" s="16" t="n">
        <f aca="false">K75/$K$110</f>
        <v>0.0025</v>
      </c>
      <c r="M75" s="11" t="s">
        <v>442</v>
      </c>
      <c r="N75" s="11" t="s">
        <v>443</v>
      </c>
      <c r="O75" s="12" t="s">
        <v>444</v>
      </c>
      <c r="P75" s="12" t="s">
        <v>445</v>
      </c>
    </row>
    <row r="76" customFormat="false" ht="46.25" hidden="false" customHeight="false" outlineLevel="0" collapsed="false">
      <c r="C76" s="11" t="s">
        <v>585</v>
      </c>
      <c r="D76" s="11" t="s">
        <v>571</v>
      </c>
      <c r="E76" s="11" t="s">
        <v>586</v>
      </c>
      <c r="F76" s="12" t="s">
        <v>587</v>
      </c>
      <c r="G76" s="12" t="s">
        <v>489</v>
      </c>
      <c r="H76" s="11" t="n">
        <v>1</v>
      </c>
      <c r="I76" s="11" t="s">
        <v>441</v>
      </c>
      <c r="J76" s="13" t="n">
        <v>250000</v>
      </c>
      <c r="K76" s="13" t="n">
        <v>250000</v>
      </c>
      <c r="L76" s="16" t="n">
        <f aca="false">K76/$K$110</f>
        <v>0.00625</v>
      </c>
      <c r="M76" s="11" t="s">
        <v>442</v>
      </c>
      <c r="N76" s="11" t="s">
        <v>443</v>
      </c>
      <c r="O76" s="12" t="s">
        <v>444</v>
      </c>
      <c r="P76" s="12" t="s">
        <v>445</v>
      </c>
    </row>
    <row r="77" customFormat="false" ht="46.25" hidden="false" customHeight="false" outlineLevel="0" collapsed="false">
      <c r="C77" s="11" t="s">
        <v>588</v>
      </c>
      <c r="D77" s="11" t="s">
        <v>571</v>
      </c>
      <c r="E77" s="11" t="s">
        <v>586</v>
      </c>
      <c r="F77" s="12" t="s">
        <v>589</v>
      </c>
      <c r="G77" s="12" t="s">
        <v>489</v>
      </c>
      <c r="H77" s="11" t="n">
        <v>1</v>
      </c>
      <c r="I77" s="11" t="s">
        <v>441</v>
      </c>
      <c r="J77" s="13" t="n">
        <v>50000</v>
      </c>
      <c r="K77" s="13" t="n">
        <v>50000</v>
      </c>
      <c r="L77" s="16" t="n">
        <f aca="false">K77/$K$110</f>
        <v>0.00125</v>
      </c>
      <c r="M77" s="11" t="s">
        <v>442</v>
      </c>
      <c r="N77" s="11" t="s">
        <v>443</v>
      </c>
      <c r="O77" s="12" t="s">
        <v>444</v>
      </c>
      <c r="P77" s="12" t="s">
        <v>445</v>
      </c>
    </row>
    <row r="78" customFormat="false" ht="46.25" hidden="false" customHeight="false" outlineLevel="0" collapsed="false">
      <c r="C78" s="11" t="s">
        <v>590</v>
      </c>
      <c r="D78" s="11" t="s">
        <v>571</v>
      </c>
      <c r="E78" s="11" t="s">
        <v>586</v>
      </c>
      <c r="F78" s="12" t="s">
        <v>591</v>
      </c>
      <c r="G78" s="12" t="s">
        <v>489</v>
      </c>
      <c r="H78" s="11" t="n">
        <v>1</v>
      </c>
      <c r="I78" s="11" t="s">
        <v>441</v>
      </c>
      <c r="J78" s="13" t="n">
        <v>50000</v>
      </c>
      <c r="K78" s="13" t="n">
        <v>50000</v>
      </c>
      <c r="L78" s="16" t="n">
        <f aca="false">K78/$K$110</f>
        <v>0.00125</v>
      </c>
      <c r="M78" s="11" t="s">
        <v>442</v>
      </c>
      <c r="N78" s="11" t="s">
        <v>443</v>
      </c>
      <c r="O78" s="12" t="s">
        <v>444</v>
      </c>
      <c r="P78" s="12" t="s">
        <v>445</v>
      </c>
    </row>
    <row r="79" customFormat="false" ht="46.25" hidden="false" customHeight="false" outlineLevel="0" collapsed="false">
      <c r="C79" s="11" t="s">
        <v>592</v>
      </c>
      <c r="D79" s="11" t="s">
        <v>571</v>
      </c>
      <c r="E79" s="11" t="s">
        <v>593</v>
      </c>
      <c r="F79" s="12" t="s">
        <v>594</v>
      </c>
      <c r="G79" s="12" t="s">
        <v>489</v>
      </c>
      <c r="H79" s="11" t="n">
        <v>1</v>
      </c>
      <c r="I79" s="11" t="s">
        <v>441</v>
      </c>
      <c r="J79" s="13" t="n">
        <v>100000</v>
      </c>
      <c r="K79" s="13" t="n">
        <v>100000</v>
      </c>
      <c r="L79" s="16" t="n">
        <f aca="false">K79/$K$110</f>
        <v>0.0025</v>
      </c>
      <c r="M79" s="11" t="s">
        <v>442</v>
      </c>
      <c r="N79" s="11" t="s">
        <v>443</v>
      </c>
      <c r="O79" s="12" t="s">
        <v>444</v>
      </c>
      <c r="P79" s="12" t="s">
        <v>445</v>
      </c>
    </row>
    <row r="80" customFormat="false" ht="46.25" hidden="false" customHeight="false" outlineLevel="0" collapsed="false">
      <c r="C80" s="11" t="s">
        <v>595</v>
      </c>
      <c r="D80" s="11" t="s">
        <v>571</v>
      </c>
      <c r="E80" s="11" t="s">
        <v>593</v>
      </c>
      <c r="F80" s="12" t="s">
        <v>596</v>
      </c>
      <c r="G80" s="12" t="s">
        <v>489</v>
      </c>
      <c r="H80" s="11" t="n">
        <v>1</v>
      </c>
      <c r="I80" s="11" t="s">
        <v>441</v>
      </c>
      <c r="J80" s="13" t="n">
        <v>200000</v>
      </c>
      <c r="K80" s="13" t="n">
        <v>200000</v>
      </c>
      <c r="L80" s="16" t="n">
        <f aca="false">K80/$K$110</f>
        <v>0.005</v>
      </c>
      <c r="M80" s="11" t="s">
        <v>442</v>
      </c>
      <c r="N80" s="11" t="s">
        <v>443</v>
      </c>
      <c r="O80" s="12" t="s">
        <v>444</v>
      </c>
      <c r="P80" s="12" t="s">
        <v>445</v>
      </c>
    </row>
    <row r="81" customFormat="false" ht="46.25" hidden="false" customHeight="false" outlineLevel="0" collapsed="false">
      <c r="C81" s="11" t="s">
        <v>597</v>
      </c>
      <c r="D81" s="11" t="s">
        <v>571</v>
      </c>
      <c r="E81" s="11" t="s">
        <v>593</v>
      </c>
      <c r="F81" s="12" t="s">
        <v>598</v>
      </c>
      <c r="G81" s="12" t="s">
        <v>489</v>
      </c>
      <c r="H81" s="11" t="n">
        <v>1</v>
      </c>
      <c r="I81" s="11" t="s">
        <v>441</v>
      </c>
      <c r="J81" s="13" t="n">
        <v>150000</v>
      </c>
      <c r="K81" s="13" t="n">
        <v>150000</v>
      </c>
      <c r="L81" s="16" t="n">
        <f aca="false">K81/$K$110</f>
        <v>0.00375</v>
      </c>
      <c r="M81" s="11" t="s">
        <v>442</v>
      </c>
      <c r="N81" s="11" t="s">
        <v>443</v>
      </c>
      <c r="O81" s="12" t="s">
        <v>444</v>
      </c>
      <c r="P81" s="12" t="s">
        <v>445</v>
      </c>
    </row>
    <row r="82" customFormat="false" ht="46.25" hidden="false" customHeight="false" outlineLevel="0" collapsed="false">
      <c r="C82" s="11" t="s">
        <v>599</v>
      </c>
      <c r="D82" s="11" t="s">
        <v>571</v>
      </c>
      <c r="E82" s="11" t="s">
        <v>593</v>
      </c>
      <c r="F82" s="12" t="s">
        <v>600</v>
      </c>
      <c r="G82" s="12" t="s">
        <v>489</v>
      </c>
      <c r="H82" s="11" t="n">
        <v>1</v>
      </c>
      <c r="I82" s="11" t="s">
        <v>441</v>
      </c>
      <c r="J82" s="13" t="n">
        <v>100000</v>
      </c>
      <c r="K82" s="13" t="n">
        <v>100000</v>
      </c>
      <c r="L82" s="16" t="n">
        <f aca="false">K82/$K$110</f>
        <v>0.0025</v>
      </c>
      <c r="M82" s="11" t="s">
        <v>442</v>
      </c>
      <c r="N82" s="11" t="s">
        <v>443</v>
      </c>
      <c r="O82" s="12" t="s">
        <v>444</v>
      </c>
      <c r="P82" s="12" t="s">
        <v>445</v>
      </c>
    </row>
    <row r="83" customFormat="false" ht="46.25" hidden="false" customHeight="false" outlineLevel="0" collapsed="false">
      <c r="C83" s="11" t="s">
        <v>601</v>
      </c>
      <c r="D83" s="11" t="s">
        <v>571</v>
      </c>
      <c r="E83" s="11" t="s">
        <v>593</v>
      </c>
      <c r="F83" s="12" t="s">
        <v>602</v>
      </c>
      <c r="G83" s="12" t="s">
        <v>489</v>
      </c>
      <c r="H83" s="11" t="n">
        <v>1</v>
      </c>
      <c r="I83" s="11" t="s">
        <v>441</v>
      </c>
      <c r="J83" s="13" t="n">
        <v>80000</v>
      </c>
      <c r="K83" s="13" t="n">
        <v>80000</v>
      </c>
      <c r="L83" s="16" t="n">
        <f aca="false">K83/$K$110</f>
        <v>0.002</v>
      </c>
      <c r="M83" s="11" t="s">
        <v>442</v>
      </c>
      <c r="N83" s="11" t="s">
        <v>443</v>
      </c>
      <c r="O83" s="12" t="s">
        <v>444</v>
      </c>
      <c r="P83" s="12" t="s">
        <v>445</v>
      </c>
    </row>
    <row r="84" customFormat="false" ht="46.25" hidden="false" customHeight="false" outlineLevel="0" collapsed="false">
      <c r="C84" s="11" t="s">
        <v>603</v>
      </c>
      <c r="D84" s="11" t="s">
        <v>571</v>
      </c>
      <c r="E84" s="11" t="s">
        <v>593</v>
      </c>
      <c r="F84" s="12" t="s">
        <v>604</v>
      </c>
      <c r="G84" s="12" t="s">
        <v>489</v>
      </c>
      <c r="H84" s="11" t="n">
        <v>1</v>
      </c>
      <c r="I84" s="11" t="s">
        <v>441</v>
      </c>
      <c r="J84" s="13" t="n">
        <v>180000</v>
      </c>
      <c r="K84" s="13" t="n">
        <v>180000</v>
      </c>
      <c r="L84" s="16" t="n">
        <f aca="false">K84/$K$110</f>
        <v>0.0045</v>
      </c>
      <c r="M84" s="11" t="s">
        <v>442</v>
      </c>
      <c r="N84" s="11" t="s">
        <v>443</v>
      </c>
      <c r="O84" s="12" t="s">
        <v>444</v>
      </c>
      <c r="P84" s="12" t="s">
        <v>445</v>
      </c>
    </row>
    <row r="85" customFormat="false" ht="46.25" hidden="false" customHeight="false" outlineLevel="0" collapsed="false">
      <c r="C85" s="11" t="s">
        <v>605</v>
      </c>
      <c r="D85" s="11" t="s">
        <v>606</v>
      </c>
      <c r="E85" s="11" t="s">
        <v>607</v>
      </c>
      <c r="F85" s="12" t="s">
        <v>608</v>
      </c>
      <c r="G85" s="12" t="s">
        <v>440</v>
      </c>
      <c r="H85" s="11" t="n">
        <v>1</v>
      </c>
      <c r="I85" s="11" t="s">
        <v>441</v>
      </c>
      <c r="J85" s="13" t="n">
        <v>300000</v>
      </c>
      <c r="K85" s="13" t="n">
        <v>300000</v>
      </c>
      <c r="L85" s="16" t="n">
        <f aca="false">K85/$K$110</f>
        <v>0.0075</v>
      </c>
      <c r="M85" s="11" t="s">
        <v>442</v>
      </c>
      <c r="N85" s="11" t="s">
        <v>443</v>
      </c>
      <c r="O85" s="12" t="s">
        <v>444</v>
      </c>
      <c r="P85" s="12" t="s">
        <v>445</v>
      </c>
    </row>
    <row r="86" customFormat="false" ht="46.25" hidden="false" customHeight="false" outlineLevel="0" collapsed="false">
      <c r="C86" s="11" t="s">
        <v>609</v>
      </c>
      <c r="D86" s="11" t="s">
        <v>606</v>
      </c>
      <c r="E86" s="11" t="s">
        <v>607</v>
      </c>
      <c r="F86" s="12" t="s">
        <v>610</v>
      </c>
      <c r="G86" s="12" t="s">
        <v>440</v>
      </c>
      <c r="H86" s="11" t="n">
        <v>1</v>
      </c>
      <c r="I86" s="11" t="s">
        <v>441</v>
      </c>
      <c r="J86" s="13" t="n">
        <v>200000</v>
      </c>
      <c r="K86" s="13" t="n">
        <v>200000</v>
      </c>
      <c r="L86" s="16" t="n">
        <f aca="false">K86/$K$110</f>
        <v>0.005</v>
      </c>
      <c r="M86" s="11" t="s">
        <v>442</v>
      </c>
      <c r="N86" s="11" t="s">
        <v>443</v>
      </c>
      <c r="O86" s="12" t="s">
        <v>444</v>
      </c>
      <c r="P86" s="12" t="s">
        <v>445</v>
      </c>
    </row>
    <row r="87" customFormat="false" ht="46.25" hidden="false" customHeight="false" outlineLevel="0" collapsed="false">
      <c r="C87" s="11" t="s">
        <v>611</v>
      </c>
      <c r="D87" s="11" t="s">
        <v>606</v>
      </c>
      <c r="E87" s="11" t="s">
        <v>607</v>
      </c>
      <c r="F87" s="12" t="s">
        <v>612</v>
      </c>
      <c r="G87" s="12" t="s">
        <v>440</v>
      </c>
      <c r="H87" s="11" t="n">
        <v>1</v>
      </c>
      <c r="I87" s="11" t="s">
        <v>441</v>
      </c>
      <c r="J87" s="13" t="n">
        <v>200000</v>
      </c>
      <c r="K87" s="13" t="n">
        <v>200000</v>
      </c>
      <c r="L87" s="16" t="n">
        <f aca="false">K87/$K$110</f>
        <v>0.005</v>
      </c>
      <c r="M87" s="11" t="s">
        <v>442</v>
      </c>
      <c r="N87" s="11" t="s">
        <v>443</v>
      </c>
      <c r="O87" s="12" t="s">
        <v>444</v>
      </c>
      <c r="P87" s="12" t="s">
        <v>445</v>
      </c>
    </row>
    <row r="88" customFormat="false" ht="46.25" hidden="false" customHeight="false" outlineLevel="0" collapsed="false">
      <c r="C88" s="11" t="s">
        <v>613</v>
      </c>
      <c r="D88" s="11" t="s">
        <v>606</v>
      </c>
      <c r="E88" s="11" t="s">
        <v>607</v>
      </c>
      <c r="F88" s="12" t="s">
        <v>614</v>
      </c>
      <c r="G88" s="12" t="s">
        <v>440</v>
      </c>
      <c r="H88" s="11" t="n">
        <v>1</v>
      </c>
      <c r="I88" s="11" t="s">
        <v>441</v>
      </c>
      <c r="J88" s="13" t="n">
        <v>150000</v>
      </c>
      <c r="K88" s="13" t="n">
        <v>150000</v>
      </c>
      <c r="L88" s="16" t="n">
        <f aca="false">K88/$K$110</f>
        <v>0.00375</v>
      </c>
      <c r="M88" s="11" t="s">
        <v>442</v>
      </c>
      <c r="N88" s="11" t="s">
        <v>443</v>
      </c>
      <c r="O88" s="12" t="s">
        <v>444</v>
      </c>
      <c r="P88" s="12" t="s">
        <v>445</v>
      </c>
    </row>
    <row r="89" customFormat="false" ht="46.25" hidden="false" customHeight="false" outlineLevel="0" collapsed="false">
      <c r="C89" s="11" t="s">
        <v>615</v>
      </c>
      <c r="D89" s="11" t="s">
        <v>606</v>
      </c>
      <c r="E89" s="11" t="s">
        <v>607</v>
      </c>
      <c r="F89" s="12" t="s">
        <v>616</v>
      </c>
      <c r="G89" s="12" t="s">
        <v>440</v>
      </c>
      <c r="H89" s="11" t="n">
        <v>1</v>
      </c>
      <c r="I89" s="11" t="s">
        <v>441</v>
      </c>
      <c r="J89" s="13" t="n">
        <v>100000</v>
      </c>
      <c r="K89" s="13" t="n">
        <v>100000</v>
      </c>
      <c r="L89" s="16" t="n">
        <f aca="false">K89/$K$110</f>
        <v>0.0025</v>
      </c>
      <c r="M89" s="11" t="s">
        <v>442</v>
      </c>
      <c r="N89" s="11" t="s">
        <v>443</v>
      </c>
      <c r="O89" s="12" t="s">
        <v>444</v>
      </c>
      <c r="P89" s="12" t="s">
        <v>445</v>
      </c>
    </row>
    <row r="90" customFormat="false" ht="46.25" hidden="false" customHeight="false" outlineLevel="0" collapsed="false">
      <c r="C90" s="11" t="s">
        <v>617</v>
      </c>
      <c r="D90" s="11" t="s">
        <v>606</v>
      </c>
      <c r="E90" s="11" t="s">
        <v>466</v>
      </c>
      <c r="F90" s="12" t="s">
        <v>618</v>
      </c>
      <c r="G90" s="12" t="s">
        <v>440</v>
      </c>
      <c r="H90" s="11" t="n">
        <v>1</v>
      </c>
      <c r="I90" s="11" t="s">
        <v>441</v>
      </c>
      <c r="J90" s="13" t="n">
        <v>300000</v>
      </c>
      <c r="K90" s="13" t="n">
        <v>300000</v>
      </c>
      <c r="L90" s="16" t="n">
        <f aca="false">K90/$K$110</f>
        <v>0.0075</v>
      </c>
      <c r="M90" s="11" t="s">
        <v>442</v>
      </c>
      <c r="N90" s="11" t="s">
        <v>443</v>
      </c>
      <c r="O90" s="12" t="s">
        <v>444</v>
      </c>
      <c r="P90" s="12" t="s">
        <v>445</v>
      </c>
    </row>
    <row r="91" customFormat="false" ht="46.25" hidden="false" customHeight="false" outlineLevel="0" collapsed="false">
      <c r="C91" s="11" t="s">
        <v>619</v>
      </c>
      <c r="D91" s="11" t="s">
        <v>606</v>
      </c>
      <c r="E91" s="11" t="s">
        <v>438</v>
      </c>
      <c r="F91" s="12" t="s">
        <v>620</v>
      </c>
      <c r="G91" s="12" t="s">
        <v>440</v>
      </c>
      <c r="H91" s="11" t="n">
        <v>1</v>
      </c>
      <c r="I91" s="11" t="s">
        <v>441</v>
      </c>
      <c r="J91" s="13" t="n">
        <v>150000</v>
      </c>
      <c r="K91" s="13" t="n">
        <v>150000</v>
      </c>
      <c r="L91" s="16" t="n">
        <f aca="false">K91/$K$110</f>
        <v>0.00375</v>
      </c>
      <c r="M91" s="11" t="s">
        <v>442</v>
      </c>
      <c r="N91" s="11" t="s">
        <v>443</v>
      </c>
      <c r="O91" s="12" t="s">
        <v>444</v>
      </c>
      <c r="P91" s="12" t="s">
        <v>445</v>
      </c>
    </row>
    <row r="92" customFormat="false" ht="46.25" hidden="false" customHeight="false" outlineLevel="0" collapsed="false">
      <c r="C92" s="11" t="s">
        <v>621</v>
      </c>
      <c r="D92" s="11" t="s">
        <v>606</v>
      </c>
      <c r="E92" s="11" t="s">
        <v>438</v>
      </c>
      <c r="F92" s="12" t="s">
        <v>622</v>
      </c>
      <c r="G92" s="12" t="s">
        <v>440</v>
      </c>
      <c r="H92" s="11" t="n">
        <v>1</v>
      </c>
      <c r="I92" s="11" t="s">
        <v>441</v>
      </c>
      <c r="J92" s="13" t="n">
        <v>100000</v>
      </c>
      <c r="K92" s="13" t="n">
        <v>100000</v>
      </c>
      <c r="L92" s="16" t="n">
        <f aca="false">K92/$K$110</f>
        <v>0.0025</v>
      </c>
      <c r="M92" s="11" t="s">
        <v>442</v>
      </c>
      <c r="N92" s="11" t="s">
        <v>443</v>
      </c>
      <c r="O92" s="12" t="s">
        <v>444</v>
      </c>
      <c r="P92" s="12" t="s">
        <v>445</v>
      </c>
    </row>
    <row r="93" customFormat="false" ht="46.25" hidden="false" customHeight="false" outlineLevel="0" collapsed="false">
      <c r="C93" s="11" t="s">
        <v>623</v>
      </c>
      <c r="D93" s="11" t="s">
        <v>606</v>
      </c>
      <c r="E93" s="11" t="s">
        <v>466</v>
      </c>
      <c r="F93" s="12" t="s">
        <v>624</v>
      </c>
      <c r="G93" s="12" t="s">
        <v>440</v>
      </c>
      <c r="H93" s="11" t="n">
        <v>1</v>
      </c>
      <c r="I93" s="11" t="s">
        <v>441</v>
      </c>
      <c r="J93" s="13" t="n">
        <v>150000</v>
      </c>
      <c r="K93" s="13" t="n">
        <v>150000</v>
      </c>
      <c r="L93" s="16" t="n">
        <f aca="false">K93/$K$110</f>
        <v>0.00375</v>
      </c>
      <c r="M93" s="11" t="s">
        <v>442</v>
      </c>
      <c r="N93" s="11" t="s">
        <v>443</v>
      </c>
      <c r="O93" s="12" t="s">
        <v>444</v>
      </c>
      <c r="P93" s="12" t="s">
        <v>445</v>
      </c>
    </row>
    <row r="94" customFormat="false" ht="46.25" hidden="false" customHeight="false" outlineLevel="0" collapsed="false">
      <c r="C94" s="11" t="s">
        <v>625</v>
      </c>
      <c r="D94" s="11" t="s">
        <v>606</v>
      </c>
      <c r="E94" s="11" t="s">
        <v>626</v>
      </c>
      <c r="F94" s="12" t="s">
        <v>627</v>
      </c>
      <c r="G94" s="12" t="s">
        <v>440</v>
      </c>
      <c r="H94" s="11" t="n">
        <v>1</v>
      </c>
      <c r="I94" s="11" t="s">
        <v>441</v>
      </c>
      <c r="J94" s="13" t="n">
        <v>150000</v>
      </c>
      <c r="K94" s="13" t="n">
        <v>150000</v>
      </c>
      <c r="L94" s="16" t="n">
        <f aca="false">K94/$K$110</f>
        <v>0.00375</v>
      </c>
      <c r="M94" s="11" t="s">
        <v>442</v>
      </c>
      <c r="N94" s="11" t="s">
        <v>443</v>
      </c>
      <c r="O94" s="12" t="s">
        <v>444</v>
      </c>
      <c r="P94" s="12" t="s">
        <v>445</v>
      </c>
    </row>
    <row r="95" customFormat="false" ht="46.25" hidden="false" customHeight="false" outlineLevel="0" collapsed="false">
      <c r="C95" s="11" t="s">
        <v>628</v>
      </c>
      <c r="D95" s="11" t="s">
        <v>606</v>
      </c>
      <c r="E95" s="11" t="s">
        <v>626</v>
      </c>
      <c r="F95" s="12" t="s">
        <v>629</v>
      </c>
      <c r="G95" s="12" t="s">
        <v>440</v>
      </c>
      <c r="H95" s="11" t="n">
        <v>1</v>
      </c>
      <c r="I95" s="11" t="s">
        <v>441</v>
      </c>
      <c r="J95" s="13" t="n">
        <v>150000</v>
      </c>
      <c r="K95" s="13" t="n">
        <v>150000</v>
      </c>
      <c r="L95" s="16" t="n">
        <f aca="false">K95/$K$110</f>
        <v>0.00375</v>
      </c>
      <c r="M95" s="11" t="s">
        <v>442</v>
      </c>
      <c r="N95" s="11" t="s">
        <v>443</v>
      </c>
      <c r="O95" s="12" t="s">
        <v>444</v>
      </c>
      <c r="P95" s="12" t="s">
        <v>445</v>
      </c>
    </row>
    <row r="96" customFormat="false" ht="46.25" hidden="false" customHeight="false" outlineLevel="0" collapsed="false">
      <c r="C96" s="11" t="s">
        <v>630</v>
      </c>
      <c r="D96" s="11" t="s">
        <v>606</v>
      </c>
      <c r="E96" s="11" t="s">
        <v>626</v>
      </c>
      <c r="F96" s="12" t="s">
        <v>631</v>
      </c>
      <c r="G96" s="12" t="s">
        <v>440</v>
      </c>
      <c r="H96" s="11" t="n">
        <v>1</v>
      </c>
      <c r="I96" s="11" t="s">
        <v>441</v>
      </c>
      <c r="J96" s="13" t="n">
        <v>200000</v>
      </c>
      <c r="K96" s="13" t="n">
        <v>200000</v>
      </c>
      <c r="L96" s="16" t="n">
        <f aca="false">K96/$K$110</f>
        <v>0.005</v>
      </c>
      <c r="M96" s="11" t="s">
        <v>442</v>
      </c>
      <c r="N96" s="11" t="s">
        <v>443</v>
      </c>
      <c r="O96" s="12" t="s">
        <v>444</v>
      </c>
      <c r="P96" s="12" t="s">
        <v>445</v>
      </c>
    </row>
    <row r="97" customFormat="false" ht="46.25" hidden="false" customHeight="false" outlineLevel="0" collapsed="false">
      <c r="C97" s="11" t="s">
        <v>632</v>
      </c>
      <c r="D97" s="11" t="s">
        <v>606</v>
      </c>
      <c r="E97" s="11" t="s">
        <v>438</v>
      </c>
      <c r="F97" s="12" t="s">
        <v>633</v>
      </c>
      <c r="G97" s="12" t="s">
        <v>440</v>
      </c>
      <c r="H97" s="11" t="n">
        <v>1</v>
      </c>
      <c r="I97" s="11" t="s">
        <v>441</v>
      </c>
      <c r="J97" s="13" t="n">
        <v>250000</v>
      </c>
      <c r="K97" s="13" t="n">
        <v>250000</v>
      </c>
      <c r="L97" s="16" t="n">
        <f aca="false">K97/$K$110</f>
        <v>0.00625</v>
      </c>
      <c r="M97" s="11" t="s">
        <v>442</v>
      </c>
      <c r="N97" s="11" t="s">
        <v>443</v>
      </c>
      <c r="O97" s="12" t="s">
        <v>444</v>
      </c>
      <c r="P97" s="12" t="s">
        <v>445</v>
      </c>
    </row>
    <row r="98" customFormat="false" ht="46.25" hidden="false" customHeight="false" outlineLevel="0" collapsed="false">
      <c r="C98" s="11" t="s">
        <v>634</v>
      </c>
      <c r="D98" s="11" t="s">
        <v>635</v>
      </c>
      <c r="E98" s="11" t="s">
        <v>438</v>
      </c>
      <c r="F98" s="12" t="s">
        <v>636</v>
      </c>
      <c r="G98" s="12" t="s">
        <v>440</v>
      </c>
      <c r="H98" s="11" t="n">
        <v>1</v>
      </c>
      <c r="I98" s="11" t="s">
        <v>441</v>
      </c>
      <c r="J98" s="13" t="n">
        <v>350000</v>
      </c>
      <c r="K98" s="13" t="n">
        <v>350000</v>
      </c>
      <c r="L98" s="16" t="n">
        <f aca="false">K98/$K$110</f>
        <v>0.00875</v>
      </c>
      <c r="M98" s="11" t="s">
        <v>442</v>
      </c>
      <c r="N98" s="11" t="s">
        <v>443</v>
      </c>
      <c r="O98" s="12" t="s">
        <v>444</v>
      </c>
      <c r="P98" s="12" t="s">
        <v>445</v>
      </c>
    </row>
    <row r="99" customFormat="false" ht="46.25" hidden="false" customHeight="false" outlineLevel="0" collapsed="false">
      <c r="C99" s="11" t="s">
        <v>637</v>
      </c>
      <c r="D99" s="11" t="s">
        <v>635</v>
      </c>
      <c r="E99" s="11" t="s">
        <v>466</v>
      </c>
      <c r="F99" s="12" t="s">
        <v>638</v>
      </c>
      <c r="G99" s="12" t="s">
        <v>440</v>
      </c>
      <c r="H99" s="11" t="n">
        <v>1</v>
      </c>
      <c r="I99" s="11" t="s">
        <v>441</v>
      </c>
      <c r="J99" s="13" t="n">
        <v>400000</v>
      </c>
      <c r="K99" s="13" t="n">
        <v>400000</v>
      </c>
      <c r="L99" s="16" t="n">
        <f aca="false">K99/$K$110</f>
        <v>0.01</v>
      </c>
      <c r="M99" s="11" t="s">
        <v>442</v>
      </c>
      <c r="N99" s="11" t="s">
        <v>443</v>
      </c>
      <c r="O99" s="12" t="s">
        <v>444</v>
      </c>
      <c r="P99" s="12" t="s">
        <v>445</v>
      </c>
    </row>
    <row r="100" customFormat="false" ht="46.25" hidden="false" customHeight="false" outlineLevel="0" collapsed="false">
      <c r="C100" s="11" t="s">
        <v>639</v>
      </c>
      <c r="D100" s="11" t="s">
        <v>635</v>
      </c>
      <c r="E100" s="11" t="s">
        <v>438</v>
      </c>
      <c r="F100" s="12" t="s">
        <v>640</v>
      </c>
      <c r="G100" s="12" t="s">
        <v>440</v>
      </c>
      <c r="H100" s="11" t="n">
        <v>1</v>
      </c>
      <c r="I100" s="11" t="s">
        <v>441</v>
      </c>
      <c r="J100" s="13" t="n">
        <v>100000</v>
      </c>
      <c r="K100" s="13" t="n">
        <v>100000</v>
      </c>
      <c r="L100" s="16" t="n">
        <f aca="false">K100/$K$110</f>
        <v>0.0025</v>
      </c>
      <c r="M100" s="11" t="s">
        <v>442</v>
      </c>
      <c r="N100" s="11" t="s">
        <v>443</v>
      </c>
      <c r="O100" s="12" t="s">
        <v>444</v>
      </c>
      <c r="P100" s="12" t="s">
        <v>445</v>
      </c>
    </row>
    <row r="101" customFormat="false" ht="46.25" hidden="false" customHeight="false" outlineLevel="0" collapsed="false">
      <c r="C101" s="11" t="s">
        <v>641</v>
      </c>
      <c r="D101" s="11" t="s">
        <v>635</v>
      </c>
      <c r="E101" s="11" t="s">
        <v>466</v>
      </c>
      <c r="F101" s="12" t="s">
        <v>642</v>
      </c>
      <c r="G101" s="12" t="s">
        <v>440</v>
      </c>
      <c r="H101" s="11" t="n">
        <v>1</v>
      </c>
      <c r="I101" s="11" t="s">
        <v>441</v>
      </c>
      <c r="J101" s="13" t="n">
        <v>100000</v>
      </c>
      <c r="K101" s="13" t="n">
        <v>100000</v>
      </c>
      <c r="L101" s="16" t="n">
        <f aca="false">K101/$K$110</f>
        <v>0.0025</v>
      </c>
      <c r="M101" s="11" t="s">
        <v>442</v>
      </c>
      <c r="N101" s="11" t="s">
        <v>443</v>
      </c>
      <c r="O101" s="12" t="s">
        <v>444</v>
      </c>
      <c r="P101" s="12" t="s">
        <v>445</v>
      </c>
    </row>
    <row r="102" customFormat="false" ht="46.25" hidden="false" customHeight="false" outlineLevel="0" collapsed="false">
      <c r="C102" s="11" t="s">
        <v>643</v>
      </c>
      <c r="D102" s="11" t="s">
        <v>635</v>
      </c>
      <c r="E102" s="11" t="s">
        <v>466</v>
      </c>
      <c r="F102" s="12" t="s">
        <v>644</v>
      </c>
      <c r="G102" s="12" t="s">
        <v>440</v>
      </c>
      <c r="H102" s="11" t="n">
        <v>1</v>
      </c>
      <c r="I102" s="11" t="s">
        <v>441</v>
      </c>
      <c r="J102" s="13" t="n">
        <v>150000</v>
      </c>
      <c r="K102" s="13" t="n">
        <v>150000</v>
      </c>
      <c r="L102" s="16" t="n">
        <f aca="false">K102/$K$110</f>
        <v>0.00375</v>
      </c>
      <c r="M102" s="11" t="s">
        <v>442</v>
      </c>
      <c r="N102" s="11" t="s">
        <v>443</v>
      </c>
      <c r="O102" s="12" t="s">
        <v>444</v>
      </c>
      <c r="P102" s="12" t="s">
        <v>445</v>
      </c>
    </row>
    <row r="103" customFormat="false" ht="46.25" hidden="false" customHeight="false" outlineLevel="0" collapsed="false">
      <c r="C103" s="11" t="s">
        <v>645</v>
      </c>
      <c r="D103" s="11" t="s">
        <v>635</v>
      </c>
      <c r="E103" s="11" t="s">
        <v>466</v>
      </c>
      <c r="F103" s="12" t="s">
        <v>646</v>
      </c>
      <c r="G103" s="12" t="s">
        <v>440</v>
      </c>
      <c r="H103" s="11" t="n">
        <v>1</v>
      </c>
      <c r="I103" s="11" t="s">
        <v>441</v>
      </c>
      <c r="J103" s="13" t="n">
        <v>100000</v>
      </c>
      <c r="K103" s="13" t="n">
        <v>100000</v>
      </c>
      <c r="L103" s="16" t="n">
        <f aca="false">K103/$K$110</f>
        <v>0.0025</v>
      </c>
      <c r="M103" s="11" t="s">
        <v>442</v>
      </c>
      <c r="N103" s="11" t="s">
        <v>443</v>
      </c>
      <c r="O103" s="12" t="s">
        <v>444</v>
      </c>
      <c r="P103" s="12" t="s">
        <v>445</v>
      </c>
    </row>
    <row r="104" customFormat="false" ht="46.25" hidden="false" customHeight="false" outlineLevel="0" collapsed="false">
      <c r="C104" s="11" t="s">
        <v>647</v>
      </c>
      <c r="D104" s="11" t="s">
        <v>648</v>
      </c>
      <c r="E104" s="11" t="s">
        <v>466</v>
      </c>
      <c r="F104" s="12" t="s">
        <v>649</v>
      </c>
      <c r="G104" s="12" t="s">
        <v>489</v>
      </c>
      <c r="H104" s="11" t="n">
        <v>1</v>
      </c>
      <c r="I104" s="11" t="s">
        <v>441</v>
      </c>
      <c r="J104" s="13" t="n">
        <v>300000</v>
      </c>
      <c r="K104" s="13" t="n">
        <v>300000</v>
      </c>
      <c r="L104" s="16" t="n">
        <f aca="false">K104/$K$110</f>
        <v>0.0075</v>
      </c>
      <c r="M104" s="11" t="s">
        <v>442</v>
      </c>
      <c r="N104" s="11" t="s">
        <v>443</v>
      </c>
      <c r="O104" s="12" t="s">
        <v>444</v>
      </c>
      <c r="P104" s="12" t="s">
        <v>445</v>
      </c>
    </row>
    <row r="105" customFormat="false" ht="46.25" hidden="false" customHeight="false" outlineLevel="0" collapsed="false">
      <c r="C105" s="11" t="s">
        <v>650</v>
      </c>
      <c r="D105" s="11" t="s">
        <v>648</v>
      </c>
      <c r="E105" s="11" t="s">
        <v>466</v>
      </c>
      <c r="F105" s="12" t="s">
        <v>651</v>
      </c>
      <c r="G105" s="12" t="s">
        <v>440</v>
      </c>
      <c r="H105" s="11" t="n">
        <v>1</v>
      </c>
      <c r="I105" s="11" t="s">
        <v>441</v>
      </c>
      <c r="J105" s="13" t="n">
        <v>100000</v>
      </c>
      <c r="K105" s="13" t="n">
        <v>100000</v>
      </c>
      <c r="L105" s="16" t="n">
        <f aca="false">K105/$K$110</f>
        <v>0.0025</v>
      </c>
      <c r="M105" s="11" t="s">
        <v>442</v>
      </c>
      <c r="N105" s="11" t="s">
        <v>443</v>
      </c>
      <c r="O105" s="12" t="s">
        <v>444</v>
      </c>
      <c r="P105" s="12" t="s">
        <v>445</v>
      </c>
    </row>
    <row r="106" customFormat="false" ht="46.25" hidden="false" customHeight="false" outlineLevel="0" collapsed="false">
      <c r="C106" s="11" t="s">
        <v>652</v>
      </c>
      <c r="D106" s="11" t="s">
        <v>648</v>
      </c>
      <c r="E106" s="11" t="s">
        <v>466</v>
      </c>
      <c r="F106" s="12" t="s">
        <v>653</v>
      </c>
      <c r="G106" s="12" t="s">
        <v>489</v>
      </c>
      <c r="H106" s="11" t="n">
        <v>1</v>
      </c>
      <c r="I106" s="11" t="s">
        <v>441</v>
      </c>
      <c r="J106" s="13" t="n">
        <v>100000</v>
      </c>
      <c r="K106" s="13" t="n">
        <v>100000</v>
      </c>
      <c r="L106" s="16" t="n">
        <f aca="false">K106/$K$110</f>
        <v>0.0025</v>
      </c>
      <c r="M106" s="11" t="s">
        <v>442</v>
      </c>
      <c r="N106" s="11" t="s">
        <v>443</v>
      </c>
      <c r="O106" s="12" t="s">
        <v>444</v>
      </c>
      <c r="P106" s="12" t="s">
        <v>445</v>
      </c>
    </row>
    <row r="107" customFormat="false" ht="46.25" hidden="false" customHeight="false" outlineLevel="0" collapsed="false">
      <c r="C107" s="11" t="s">
        <v>654</v>
      </c>
      <c r="D107" s="11" t="s">
        <v>648</v>
      </c>
      <c r="E107" s="11" t="s">
        <v>572</v>
      </c>
      <c r="F107" s="12" t="s">
        <v>655</v>
      </c>
      <c r="G107" s="12" t="s">
        <v>489</v>
      </c>
      <c r="H107" s="11" t="n">
        <v>1</v>
      </c>
      <c r="I107" s="11" t="s">
        <v>441</v>
      </c>
      <c r="J107" s="13" t="n">
        <v>100000</v>
      </c>
      <c r="K107" s="13" t="n">
        <v>100000</v>
      </c>
      <c r="L107" s="16" t="n">
        <f aca="false">K107/$K$110</f>
        <v>0.0025</v>
      </c>
      <c r="M107" s="11" t="s">
        <v>442</v>
      </c>
      <c r="N107" s="11" t="s">
        <v>443</v>
      </c>
      <c r="O107" s="12" t="s">
        <v>444</v>
      </c>
      <c r="P107" s="12" t="s">
        <v>445</v>
      </c>
    </row>
    <row r="108" customFormat="false" ht="46.25" hidden="false" customHeight="false" outlineLevel="0" collapsed="false">
      <c r="C108" s="11" t="s">
        <v>656</v>
      </c>
      <c r="D108" s="11" t="s">
        <v>648</v>
      </c>
      <c r="E108" s="11" t="s">
        <v>466</v>
      </c>
      <c r="F108" s="12" t="s">
        <v>657</v>
      </c>
      <c r="G108" s="12" t="s">
        <v>440</v>
      </c>
      <c r="H108" s="11" t="n">
        <v>1</v>
      </c>
      <c r="I108" s="11" t="s">
        <v>441</v>
      </c>
      <c r="J108" s="13" t="n">
        <v>100000</v>
      </c>
      <c r="K108" s="13" t="n">
        <v>100000</v>
      </c>
      <c r="L108" s="16" t="n">
        <f aca="false">K108/$K$110</f>
        <v>0.0025</v>
      </c>
      <c r="M108" s="11" t="s">
        <v>442</v>
      </c>
      <c r="N108" s="11" t="s">
        <v>443</v>
      </c>
      <c r="O108" s="12" t="s">
        <v>444</v>
      </c>
      <c r="P108" s="12" t="s">
        <v>445</v>
      </c>
    </row>
    <row r="109" customFormat="false" ht="46.25" hidden="false" customHeight="false" outlineLevel="0" collapsed="false">
      <c r="C109" s="11" t="s">
        <v>658</v>
      </c>
      <c r="D109" s="11" t="s">
        <v>648</v>
      </c>
      <c r="E109" s="11" t="s">
        <v>566</v>
      </c>
      <c r="F109" s="12" t="s">
        <v>659</v>
      </c>
      <c r="G109" s="12" t="s">
        <v>440</v>
      </c>
      <c r="H109" s="11" t="n">
        <v>1</v>
      </c>
      <c r="I109" s="11" t="s">
        <v>441</v>
      </c>
      <c r="J109" s="13" t="n">
        <v>100000</v>
      </c>
      <c r="K109" s="13" t="n">
        <v>100000</v>
      </c>
      <c r="L109" s="16" t="n">
        <f aca="false">K109/$K$110</f>
        <v>0.0025</v>
      </c>
      <c r="M109" s="11" t="s">
        <v>442</v>
      </c>
      <c r="N109" s="11" t="s">
        <v>443</v>
      </c>
      <c r="O109" s="12" t="s">
        <v>444</v>
      </c>
      <c r="P109" s="12" t="s">
        <v>445</v>
      </c>
    </row>
    <row r="110" customFormat="false" ht="15" hidden="false" customHeight="false" outlineLevel="0" collapsed="false">
      <c r="C110" s="2" t="s">
        <v>660</v>
      </c>
      <c r="F110" s="2" t="s">
        <v>661</v>
      </c>
      <c r="K110" s="17" t="n">
        <f aca="false">SUM(K10:K109)</f>
        <v>40000000</v>
      </c>
      <c r="L110" s="18" t="n">
        <v>1</v>
      </c>
    </row>
    <row r="111" customFormat="false" ht="15" hidden="false" customHeight="false" outlineLevel="0" collapsed="false">
      <c r="F111" s="2" t="s">
        <v>662</v>
      </c>
      <c r="K111" s="6" t="n">
        <f aca="false">K110-'Inputs - SKU Register'!$G$10</f>
        <v>0</v>
      </c>
      <c r="P111" s="7" t="s">
        <v>663</v>
      </c>
    </row>
  </sheetData>
  <autoFilter ref="C9:P109"/>
  <mergeCells count="2">
    <mergeCell ref="C3:N3"/>
    <mergeCell ref="C8:N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100-Line Development Budget | Page &amp;P of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40"/>
  </cols>
  <sheetData>
    <row r="3" customFormat="false" ht="19.7" hidden="false" customHeight="false" outlineLevel="0" collapsed="false">
      <c r="C3" s="1" t="s">
        <v>664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665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666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6.4" hidden="false" customHeight="false" outlineLevel="0" collapsed="false">
      <c r="C9" s="5" t="s">
        <v>667</v>
      </c>
      <c r="D9" s="5" t="s">
        <v>668</v>
      </c>
      <c r="E9" s="5" t="s">
        <v>669</v>
      </c>
      <c r="F9" s="5" t="s">
        <v>670</v>
      </c>
      <c r="G9" s="5" t="s">
        <v>671</v>
      </c>
      <c r="H9" s="5" t="s">
        <v>672</v>
      </c>
      <c r="I9" s="5" t="s">
        <v>673</v>
      </c>
      <c r="J9" s="5" t="s">
        <v>674</v>
      </c>
      <c r="K9" s="5" t="s">
        <v>675</v>
      </c>
      <c r="L9" s="5" t="s">
        <v>676</v>
      </c>
      <c r="M9" s="5" t="s">
        <v>677</v>
      </c>
      <c r="N9" s="5" t="s">
        <v>92</v>
      </c>
    </row>
    <row r="10" customFormat="false" ht="15" hidden="false" customHeight="false" outlineLevel="0" collapsed="false">
      <c r="C10" s="0" t="s">
        <v>678</v>
      </c>
      <c r="D10" s="0" t="s">
        <v>147</v>
      </c>
      <c r="E10" s="8" t="str">
        <f aca="false">IF('Inputs - SKU Register'!H24="","",'Inputs - SKU Register'!H24)</f>
        <v/>
      </c>
      <c r="F10" s="7" t="s">
        <v>153</v>
      </c>
      <c r="G10" s="8" t="str">
        <f aca="false">IF('Inputs - SKU Register'!H25="","",'Inputs - SKU Register'!H25)</f>
        <v/>
      </c>
      <c r="H10" s="7" t="s">
        <v>156</v>
      </c>
      <c r="I10" s="6" t="str">
        <f aca="false">IF('Inputs - SKU Register'!H26="","",'Inputs - SKU Register'!H26)</f>
        <v/>
      </c>
      <c r="J10" s="7" t="s">
        <v>162</v>
      </c>
      <c r="K10" s="9" t="str">
        <f aca="false">IF('Inputs - SKU Register'!H27="","",'Inputs - SKU Register'!H27)</f>
        <v/>
      </c>
      <c r="L10" s="19" t="str">
        <f aca="false">IF(OR(E10="",I10=""),"",E10*I10)</f>
        <v/>
      </c>
      <c r="M10" s="19" t="str">
        <f aca="false">IF(OR(L10="",K10=""),"",L10*K10)</f>
        <v/>
      </c>
      <c r="N10" s="7" t="s">
        <v>679</v>
      </c>
    </row>
    <row r="11" customFormat="false" ht="15" hidden="false" customHeight="false" outlineLevel="0" collapsed="false">
      <c r="C11" s="0" t="s">
        <v>680</v>
      </c>
      <c r="D11" s="0" t="s">
        <v>167</v>
      </c>
      <c r="E11" s="8" t="str">
        <f aca="false">IF('Inputs - SKU Register'!H28="","",'Inputs - SKU Register'!H28)</f>
        <v/>
      </c>
      <c r="F11" s="7" t="s">
        <v>169</v>
      </c>
      <c r="G11" s="8" t="str">
        <f aca="false">IF('Inputs - SKU Register'!H29="","",'Inputs - SKU Register'!H29)</f>
        <v/>
      </c>
      <c r="H11" s="7" t="s">
        <v>171</v>
      </c>
      <c r="I11" s="6" t="str">
        <f aca="false">IF('Inputs - SKU Register'!H30="","",'Inputs - SKU Register'!H30)</f>
        <v/>
      </c>
      <c r="J11" s="7" t="s">
        <v>173</v>
      </c>
      <c r="K11" s="9" t="str">
        <f aca="false">IF('Inputs - SKU Register'!H31="","",'Inputs - SKU Register'!H31)</f>
        <v/>
      </c>
      <c r="L11" s="19" t="str">
        <f aca="false">IF(OR(E11="",I11=""),"",E11*I11)</f>
        <v/>
      </c>
      <c r="M11" s="19" t="str">
        <f aca="false">IF(OR(L11="",K11=""),"",L11*K11)</f>
        <v/>
      </c>
      <c r="N11" s="7" t="s">
        <v>679</v>
      </c>
    </row>
    <row r="12" customFormat="false" ht="15" hidden="false" customHeight="false" outlineLevel="0" collapsed="false">
      <c r="C12" s="0" t="s">
        <v>681</v>
      </c>
      <c r="D12" s="0" t="s">
        <v>175</v>
      </c>
      <c r="E12" s="8" t="str">
        <f aca="false">IF('Inputs - SKU Register'!H32="","",'Inputs - SKU Register'!H32)</f>
        <v/>
      </c>
      <c r="F12" s="7" t="s">
        <v>177</v>
      </c>
      <c r="G12" s="8" t="str">
        <f aca="false">IF('Inputs - SKU Register'!H33="","",'Inputs - SKU Register'!H33)</f>
        <v/>
      </c>
      <c r="H12" s="7" t="s">
        <v>179</v>
      </c>
      <c r="I12" s="6" t="str">
        <f aca="false">IF('Inputs - SKU Register'!H34="","",'Inputs - SKU Register'!H34)</f>
        <v/>
      </c>
      <c r="J12" s="7" t="s">
        <v>181</v>
      </c>
      <c r="K12" s="9" t="str">
        <f aca="false">IF('Inputs - SKU Register'!H35="","",'Inputs - SKU Register'!H35)</f>
        <v/>
      </c>
      <c r="L12" s="19" t="str">
        <f aca="false">IF(OR(E12="",I12=""),"",E12*I12)</f>
        <v/>
      </c>
      <c r="M12" s="19" t="str">
        <f aca="false">IF(OR(L12="",K12=""),"",L12*K12)</f>
        <v/>
      </c>
      <c r="N12" s="7" t="s">
        <v>679</v>
      </c>
    </row>
    <row r="13" customFormat="false" ht="15" hidden="false" customHeight="false" outlineLevel="0" collapsed="false">
      <c r="C13" s="0" t="s">
        <v>682</v>
      </c>
      <c r="D13" s="0" t="s">
        <v>183</v>
      </c>
      <c r="E13" s="8" t="str">
        <f aca="false">IF('Inputs - SKU Register'!H36="","",'Inputs - SKU Register'!H36)</f>
        <v/>
      </c>
      <c r="F13" s="7" t="s">
        <v>185</v>
      </c>
      <c r="G13" s="8" t="str">
        <f aca="false">IF('Inputs - SKU Register'!H37="","",'Inputs - SKU Register'!H37)</f>
        <v/>
      </c>
      <c r="H13" s="7" t="s">
        <v>187</v>
      </c>
      <c r="I13" s="6" t="str">
        <f aca="false">IF('Inputs - SKU Register'!H38="","",'Inputs - SKU Register'!H38)</f>
        <v/>
      </c>
      <c r="J13" s="7" t="s">
        <v>189</v>
      </c>
      <c r="K13" s="9" t="str">
        <f aca="false">IF('Inputs - SKU Register'!H39="","",'Inputs - SKU Register'!H39)</f>
        <v/>
      </c>
      <c r="L13" s="19" t="str">
        <f aca="false">IF(OR(E13="",I13=""),"",E13*I13)</f>
        <v/>
      </c>
      <c r="M13" s="19" t="str">
        <f aca="false">IF(OR(L13="",K13=""),"",L13*K13)</f>
        <v/>
      </c>
      <c r="N13" s="7" t="s">
        <v>679</v>
      </c>
    </row>
    <row r="14" customFormat="false" ht="15" hidden="false" customHeight="false" outlineLevel="0" collapsed="false">
      <c r="C14" s="2" t="s">
        <v>683</v>
      </c>
      <c r="E14" s="20" t="n">
        <f aca="false">SUM(E10:E13)</f>
        <v>0</v>
      </c>
      <c r="L14" s="19" t="str">
        <f aca="false">IF(COUNT(L10:L13)=0,"",SUM(L10:L13))</f>
        <v/>
      </c>
      <c r="M14" s="19" t="str">
        <f aca="false">IF(COUNT(M10:M13)=0,"",SUM(M10:M13))</f>
        <v/>
      </c>
    </row>
    <row r="15" customFormat="false" ht="15" hidden="false" customHeight="false" outlineLevel="0" collapsed="false">
      <c r="C15" s="2" t="s">
        <v>684</v>
      </c>
      <c r="E15" s="8" t="n">
        <f aca="false">E14-'Inputs - SKU Register'!$H$11</f>
        <v>-280</v>
      </c>
      <c r="N15" s="7" t="s">
        <v>685</v>
      </c>
    </row>
  </sheetData>
  <mergeCells count="2">
    <mergeCell ref="C3:N3"/>
    <mergeCell ref="C8:N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Rent Roll Revenue Drivers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40"/>
    <col collapsed="false" customWidth="true" hidden="false" outlineLevel="0" max="14" min="9" style="0" width="10"/>
  </cols>
  <sheetData>
    <row r="3" customFormat="false" ht="19.7" hidden="false" customHeight="false" outlineLevel="0" collapsed="false">
      <c r="C3" s="1" t="s">
        <v>686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687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688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31.3" hidden="false" customHeight="false" outlineLevel="0" collapsed="false">
      <c r="C9" s="5" t="s">
        <v>689</v>
      </c>
      <c r="D9" s="5" t="s">
        <v>428</v>
      </c>
      <c r="E9" s="5" t="s">
        <v>690</v>
      </c>
      <c r="F9" s="5" t="s">
        <v>691</v>
      </c>
      <c r="G9" s="5" t="s">
        <v>692</v>
      </c>
      <c r="H9" s="5" t="s">
        <v>92</v>
      </c>
    </row>
    <row r="10" customFormat="false" ht="15" hidden="false" customHeight="false" outlineLevel="0" collapsed="false">
      <c r="C10" s="0" t="s">
        <v>693</v>
      </c>
      <c r="D10" s="0" t="s">
        <v>694</v>
      </c>
      <c r="E10" s="6" t="str">
        <f aca="false">IF('Rent Roll'!L14="","",'Rent Roll'!L14*12)</f>
        <v/>
      </c>
      <c r="F10" s="7" t="s">
        <v>695</v>
      </c>
      <c r="G10" s="7" t="s">
        <v>15</v>
      </c>
      <c r="H10" s="7" t="s">
        <v>696</v>
      </c>
    </row>
    <row r="11" customFormat="false" ht="15" hidden="false" customHeight="false" outlineLevel="0" collapsed="false">
      <c r="C11" s="0" t="s">
        <v>697</v>
      </c>
      <c r="D11" s="0" t="s">
        <v>192</v>
      </c>
      <c r="E11" s="6" t="str">
        <f aca="false">IF(OR('Rent Roll'!M14="",'Inputs - SKU Register'!H40=""),"",'Rent Roll'!M14*'Inputs - SKU Register'!H40*12)</f>
        <v/>
      </c>
      <c r="F11" s="7" t="s">
        <v>698</v>
      </c>
      <c r="G11" s="7" t="s">
        <v>15</v>
      </c>
    </row>
    <row r="12" customFormat="false" ht="15" hidden="false" customHeight="false" outlineLevel="0" collapsed="false">
      <c r="C12" s="0" t="s">
        <v>699</v>
      </c>
      <c r="D12" s="0" t="s">
        <v>198</v>
      </c>
      <c r="E12" s="6" t="str">
        <f aca="false">IF(OR(E10="",'Inputs - SKU Register'!H41=""),"",-E10*'Inputs - SKU Register'!H41)</f>
        <v/>
      </c>
      <c r="G12" s="7" t="s">
        <v>15</v>
      </c>
    </row>
    <row r="13" customFormat="false" ht="15" hidden="false" customHeight="false" outlineLevel="0" collapsed="false">
      <c r="C13" s="0" t="s">
        <v>700</v>
      </c>
      <c r="D13" s="2" t="s">
        <v>701</v>
      </c>
      <c r="E13" s="21" t="str">
        <f aca="false">IF(COUNT(E10:E12)=0,"",SUM(E10:E12))</f>
        <v/>
      </c>
      <c r="G13" s="7" t="s">
        <v>15</v>
      </c>
    </row>
    <row r="15" customFormat="false" ht="15" hidden="false" customHeight="false" outlineLevel="0" collapsed="false">
      <c r="C15" s="0" t="s">
        <v>207</v>
      </c>
      <c r="D15" s="0" t="s">
        <v>209</v>
      </c>
      <c r="E15" s="6" t="str">
        <f aca="false">IF('Inputs - SKU Register'!H46="","",-'Inputs - SKU Register'!H46)</f>
        <v/>
      </c>
      <c r="F15" s="7" t="s">
        <v>702</v>
      </c>
      <c r="G15" s="7" t="s">
        <v>703</v>
      </c>
    </row>
    <row r="16" customFormat="false" ht="15" hidden="false" customHeight="false" outlineLevel="0" collapsed="false">
      <c r="C16" s="0" t="s">
        <v>211</v>
      </c>
      <c r="D16" s="0" t="s">
        <v>212</v>
      </c>
      <c r="E16" s="6" t="str">
        <f aca="false">IF('Inputs - SKU Register'!H47="","",-'Inputs - SKU Register'!H47)</f>
        <v/>
      </c>
      <c r="F16" s="7" t="s">
        <v>704</v>
      </c>
      <c r="G16" s="7" t="s">
        <v>703</v>
      </c>
    </row>
    <row r="17" customFormat="false" ht="15" hidden="false" customHeight="false" outlineLevel="0" collapsed="false">
      <c r="C17" s="0" t="s">
        <v>213</v>
      </c>
      <c r="D17" s="0" t="s">
        <v>214</v>
      </c>
      <c r="E17" s="6" t="str">
        <f aca="false">IF('Inputs - SKU Register'!H48="","",-'Inputs - SKU Register'!H48)</f>
        <v/>
      </c>
      <c r="F17" s="7" t="s">
        <v>705</v>
      </c>
      <c r="G17" s="7" t="s">
        <v>703</v>
      </c>
    </row>
    <row r="18" customFormat="false" ht="15" hidden="false" customHeight="false" outlineLevel="0" collapsed="false">
      <c r="C18" s="0" t="s">
        <v>215</v>
      </c>
      <c r="D18" s="0" t="s">
        <v>216</v>
      </c>
      <c r="E18" s="6" t="str">
        <f aca="false">IF('Inputs - SKU Register'!H49="","",-'Inputs - SKU Register'!H49)</f>
        <v/>
      </c>
      <c r="F18" s="7" t="s">
        <v>706</v>
      </c>
      <c r="G18" s="7" t="s">
        <v>703</v>
      </c>
    </row>
    <row r="19" customFormat="false" ht="15" hidden="false" customHeight="false" outlineLevel="0" collapsed="false">
      <c r="C19" s="0" t="s">
        <v>217</v>
      </c>
      <c r="D19" s="0" t="s">
        <v>218</v>
      </c>
      <c r="E19" s="6" t="str">
        <f aca="false">IF('Inputs - SKU Register'!H50="","",-'Inputs - SKU Register'!H50)</f>
        <v/>
      </c>
      <c r="F19" s="7" t="s">
        <v>707</v>
      </c>
      <c r="G19" s="7" t="s">
        <v>703</v>
      </c>
    </row>
    <row r="20" customFormat="false" ht="15" hidden="false" customHeight="false" outlineLevel="0" collapsed="false">
      <c r="C20" s="0" t="s">
        <v>219</v>
      </c>
      <c r="D20" s="0" t="s">
        <v>220</v>
      </c>
      <c r="E20" s="6" t="str">
        <f aca="false">IF('Inputs - SKU Register'!H51="","",-'Inputs - SKU Register'!H51)</f>
        <v/>
      </c>
      <c r="F20" s="7" t="s">
        <v>708</v>
      </c>
      <c r="G20" s="7" t="s">
        <v>703</v>
      </c>
    </row>
    <row r="21" customFormat="false" ht="15" hidden="false" customHeight="false" outlineLevel="0" collapsed="false">
      <c r="C21" s="0" t="s">
        <v>221</v>
      </c>
      <c r="D21" s="0" t="s">
        <v>222</v>
      </c>
      <c r="E21" s="6" t="str">
        <f aca="false">IF('Inputs - SKU Register'!H52="","",-'Inputs - SKU Register'!H52)</f>
        <v/>
      </c>
      <c r="F21" s="7" t="s">
        <v>709</v>
      </c>
      <c r="G21" s="7" t="s">
        <v>703</v>
      </c>
    </row>
    <row r="22" customFormat="false" ht="15" hidden="false" customHeight="false" outlineLevel="0" collapsed="false">
      <c r="C22" s="0" t="s">
        <v>223</v>
      </c>
      <c r="D22" s="0" t="s">
        <v>224</v>
      </c>
      <c r="E22" s="6" t="str">
        <f aca="false">IF('Inputs - SKU Register'!H53="","",-'Inputs - SKU Register'!H53)</f>
        <v/>
      </c>
      <c r="F22" s="7" t="s">
        <v>710</v>
      </c>
      <c r="G22" s="7" t="s">
        <v>703</v>
      </c>
    </row>
    <row r="23" customFormat="false" ht="15" hidden="false" customHeight="false" outlineLevel="0" collapsed="false">
      <c r="C23" s="0" t="s">
        <v>225</v>
      </c>
      <c r="D23" s="0" t="s">
        <v>226</v>
      </c>
      <c r="E23" s="6" t="str">
        <f aca="false">IF('Inputs - SKU Register'!H54="","",-'Inputs - SKU Register'!H54)</f>
        <v/>
      </c>
      <c r="F23" s="7" t="s">
        <v>711</v>
      </c>
      <c r="G23" s="7" t="s">
        <v>703</v>
      </c>
    </row>
    <row r="24" customFormat="false" ht="15" hidden="false" customHeight="false" outlineLevel="0" collapsed="false">
      <c r="C24" s="0" t="s">
        <v>227</v>
      </c>
      <c r="D24" s="0" t="s">
        <v>228</v>
      </c>
      <c r="E24" s="6" t="str">
        <f aca="false">IF('Inputs - SKU Register'!H55="","",-'Inputs - SKU Register'!H55)</f>
        <v/>
      </c>
      <c r="F24" s="7" t="s">
        <v>712</v>
      </c>
      <c r="G24" s="7" t="s">
        <v>703</v>
      </c>
    </row>
    <row r="25" customFormat="false" ht="15" hidden="false" customHeight="false" outlineLevel="0" collapsed="false">
      <c r="C25" s="0" t="s">
        <v>229</v>
      </c>
      <c r="D25" s="0" t="s">
        <v>230</v>
      </c>
      <c r="E25" s="6" t="str">
        <f aca="false">IF('Inputs - SKU Register'!H56="","",-'Inputs - SKU Register'!H56)</f>
        <v/>
      </c>
      <c r="F25" s="7" t="s">
        <v>713</v>
      </c>
      <c r="G25" s="7" t="s">
        <v>703</v>
      </c>
    </row>
    <row r="26" customFormat="false" ht="15" hidden="false" customHeight="false" outlineLevel="0" collapsed="false">
      <c r="C26" s="0" t="s">
        <v>231</v>
      </c>
      <c r="D26" s="0" t="s">
        <v>232</v>
      </c>
      <c r="E26" s="6" t="str">
        <f aca="false">IF('Inputs - SKU Register'!H57="","",-'Inputs - SKU Register'!H57)</f>
        <v/>
      </c>
      <c r="F26" s="7" t="s">
        <v>714</v>
      </c>
      <c r="G26" s="7" t="s">
        <v>703</v>
      </c>
    </row>
    <row r="27" customFormat="false" ht="15" hidden="false" customHeight="false" outlineLevel="0" collapsed="false">
      <c r="C27" s="0" t="s">
        <v>233</v>
      </c>
      <c r="D27" s="0" t="s">
        <v>234</v>
      </c>
      <c r="E27" s="6" t="str">
        <f aca="false">IF('Inputs - SKU Register'!H58="","",-'Inputs - SKU Register'!H58)</f>
        <v/>
      </c>
      <c r="F27" s="7" t="s">
        <v>715</v>
      </c>
      <c r="G27" s="7" t="s">
        <v>703</v>
      </c>
    </row>
    <row r="28" customFormat="false" ht="15" hidden="false" customHeight="false" outlineLevel="0" collapsed="false">
      <c r="C28" s="0" t="s">
        <v>235</v>
      </c>
      <c r="D28" s="0" t="s">
        <v>236</v>
      </c>
      <c r="E28" s="6" t="str">
        <f aca="false">IF('Inputs - SKU Register'!H59="","",-'Inputs - SKU Register'!H59)</f>
        <v/>
      </c>
      <c r="F28" s="7" t="s">
        <v>716</v>
      </c>
      <c r="G28" s="7" t="s">
        <v>703</v>
      </c>
    </row>
    <row r="29" customFormat="false" ht="15" hidden="false" customHeight="false" outlineLevel="0" collapsed="false">
      <c r="C29" s="0" t="s">
        <v>717</v>
      </c>
      <c r="D29" s="2" t="s">
        <v>718</v>
      </c>
      <c r="E29" s="17" t="str">
        <f aca="false">IF(OR(E13="",COUNT(E15:E28)=0),"",E13+SUM(E15:E28))</f>
        <v/>
      </c>
      <c r="G29" s="7" t="s">
        <v>15</v>
      </c>
    </row>
    <row r="30" customFormat="false" ht="15" hidden="false" customHeight="false" outlineLevel="0" collapsed="false">
      <c r="C30" s="0" t="s">
        <v>719</v>
      </c>
      <c r="D30" s="0" t="s">
        <v>720</v>
      </c>
      <c r="E30" s="6" t="str">
        <f aca="false">IF(E29="","",E29-'Inputs - SKU Register'!G18)</f>
        <v/>
      </c>
      <c r="G30" s="7" t="s">
        <v>15</v>
      </c>
      <c r="H30" s="7" t="s">
        <v>721</v>
      </c>
    </row>
  </sheetData>
  <mergeCells count="2">
    <mergeCell ref="C3:N3"/>
    <mergeCell ref="C8:N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Operating Statement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P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31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9"/>
    <col collapsed="false" customWidth="true" hidden="false" outlineLevel="0" max="16" min="16" style="0" width="40"/>
  </cols>
  <sheetData>
    <row r="3" customFormat="false" ht="19.7" hidden="false" customHeight="false" outlineLevel="0" collapsed="false">
      <c r="C3" s="1" t="s">
        <v>722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723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724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6.4" hidden="false" customHeight="false" outlineLevel="0" collapsed="false">
      <c r="C9" s="5" t="s">
        <v>725</v>
      </c>
      <c r="D9" s="5" t="s">
        <v>427</v>
      </c>
      <c r="E9" s="5" t="s">
        <v>726</v>
      </c>
      <c r="F9" s="5" t="s">
        <v>727</v>
      </c>
      <c r="G9" s="5" t="s">
        <v>728</v>
      </c>
      <c r="H9" s="5" t="s">
        <v>674</v>
      </c>
      <c r="I9" s="5" t="s">
        <v>675</v>
      </c>
      <c r="J9" s="5" t="s">
        <v>729</v>
      </c>
      <c r="K9" s="5" t="s">
        <v>730</v>
      </c>
      <c r="L9" s="5" t="s">
        <v>731</v>
      </c>
      <c r="M9" s="5" t="s">
        <v>732</v>
      </c>
      <c r="N9" s="5" t="s">
        <v>733</v>
      </c>
      <c r="O9" s="5" t="s">
        <v>734</v>
      </c>
      <c r="P9" s="5" t="s">
        <v>92</v>
      </c>
    </row>
    <row r="10" customFormat="false" ht="15" hidden="false" customHeight="false" outlineLevel="0" collapsed="false">
      <c r="C10" s="0" t="n">
        <v>1</v>
      </c>
      <c r="D10" s="0" t="s">
        <v>735</v>
      </c>
      <c r="E10" s="0" t="s">
        <v>238</v>
      </c>
      <c r="F10" s="9" t="str">
        <f aca="false">IF('Inputs - SKU Register'!H63="","",'Inputs - SKU Register'!H63)</f>
        <v/>
      </c>
      <c r="G10" s="6" t="str">
        <f aca="false">IF(F10="","",F10*'WBS Budget'!K110)</f>
        <v/>
      </c>
      <c r="H10" s="7" t="s">
        <v>243</v>
      </c>
      <c r="I10" s="9" t="str">
        <f aca="false">IF('Inputs - SKU Register'!H64="","",'Inputs - SKU Register'!H64)</f>
        <v/>
      </c>
      <c r="J10" s="6" t="str">
        <f aca="false">IF(OR(I10="",'Revenue &amp; Operations'!E10=""),"",'Revenue &amp; Operations'!E10/12*I10)</f>
        <v/>
      </c>
      <c r="K10" s="6" t="str">
        <f aca="false">IF(OR(J10="",'Inputs - SKU Register'!H40="",'Inputs - SKU Register'!H41="",'Rent Roll'!E14=""),"",J10*(1-'Inputs - SKU Register'!H41)+('Rent Roll'!E14*I10*'Inputs - SKU Register'!H40))</f>
        <v/>
      </c>
      <c r="L10" s="6" t="str">
        <f aca="false">IF(COUNT('Revenue &amp; Operations'!E15:E28)=0,"",SUM('Revenue &amp; Operations'!E15:E28)/12)</f>
        <v/>
      </c>
      <c r="M10" s="19" t="str">
        <f aca="false">IF(OR(K10="",L10=""),"",K10+L10)</f>
        <v/>
      </c>
      <c r="O10" s="19" t="str">
        <f aca="false">IF(OR(G10="",M10=""),"",M10-G10-N10)</f>
        <v/>
      </c>
      <c r="P10" s="7" t="s">
        <v>736</v>
      </c>
    </row>
    <row r="11" customFormat="false" ht="15" hidden="false" customHeight="false" outlineLevel="0" collapsed="false">
      <c r="C11" s="0" t="n">
        <v>2</v>
      </c>
      <c r="D11" s="0" t="s">
        <v>735</v>
      </c>
      <c r="E11" s="0" t="s">
        <v>247</v>
      </c>
      <c r="F11" s="9" t="str">
        <f aca="false">IF('Inputs - SKU Register'!H65="","",'Inputs - SKU Register'!H65)</f>
        <v/>
      </c>
      <c r="G11" s="6" t="str">
        <f aca="false">IF(F11="","",F11*'WBS Budget'!K110)</f>
        <v/>
      </c>
      <c r="H11" s="7" t="s">
        <v>249</v>
      </c>
      <c r="I11" s="9" t="str">
        <f aca="false">IF('Inputs - SKU Register'!H66="","",'Inputs - SKU Register'!H66)</f>
        <v/>
      </c>
      <c r="J11" s="6" t="str">
        <f aca="false">IF(OR(I11="",'Revenue &amp; Operations'!E10=""),"",'Revenue &amp; Operations'!E10/12*I11)</f>
        <v/>
      </c>
      <c r="K11" s="6" t="str">
        <f aca="false">IF(OR(J11="",'Inputs - SKU Register'!H40="",'Inputs - SKU Register'!H41="",'Rent Roll'!E14=""),"",J11*(1-'Inputs - SKU Register'!H41)+('Rent Roll'!E14*I11*'Inputs - SKU Register'!H40))</f>
        <v/>
      </c>
      <c r="L11" s="6" t="str">
        <f aca="false">IF(COUNT('Revenue &amp; Operations'!E15:E28)=0,"",SUM('Revenue &amp; Operations'!E15:E28)/12)</f>
        <v/>
      </c>
      <c r="M11" s="19" t="str">
        <f aca="false">IF(OR(K11="",L11=""),"",K11+L11)</f>
        <v/>
      </c>
      <c r="O11" s="19" t="str">
        <f aca="false">IF(OR(G11="",M11=""),"",M11-G11-N11)</f>
        <v/>
      </c>
      <c r="P11" s="7" t="s">
        <v>736</v>
      </c>
    </row>
    <row r="12" customFormat="false" ht="15" hidden="false" customHeight="false" outlineLevel="0" collapsed="false">
      <c r="C12" s="0" t="n">
        <v>3</v>
      </c>
      <c r="D12" s="0" t="s">
        <v>735</v>
      </c>
      <c r="E12" s="0" t="s">
        <v>251</v>
      </c>
      <c r="F12" s="9" t="str">
        <f aca="false">IF('Inputs - SKU Register'!H67="","",'Inputs - SKU Register'!H67)</f>
        <v/>
      </c>
      <c r="G12" s="6" t="str">
        <f aca="false">IF(F12="","",F12*'WBS Budget'!K110)</f>
        <v/>
      </c>
      <c r="H12" s="7" t="s">
        <v>253</v>
      </c>
      <c r="I12" s="9" t="str">
        <f aca="false">IF('Inputs - SKU Register'!H68="","",'Inputs - SKU Register'!H68)</f>
        <v/>
      </c>
      <c r="J12" s="6" t="str">
        <f aca="false">IF(OR(I12="",'Revenue &amp; Operations'!E10=""),"",'Revenue &amp; Operations'!E10/12*I12)</f>
        <v/>
      </c>
      <c r="K12" s="6" t="str">
        <f aca="false">IF(OR(J12="",'Inputs - SKU Register'!H40="",'Inputs - SKU Register'!H41="",'Rent Roll'!E14=""),"",J12*(1-'Inputs - SKU Register'!H41)+('Rent Roll'!E14*I12*'Inputs - SKU Register'!H40))</f>
        <v/>
      </c>
      <c r="L12" s="6" t="str">
        <f aca="false">IF(COUNT('Revenue &amp; Operations'!E15:E28)=0,"",SUM('Revenue &amp; Operations'!E15:E28)/12)</f>
        <v/>
      </c>
      <c r="M12" s="19" t="str">
        <f aca="false">IF(OR(K12="",L12=""),"",K12+L12)</f>
        <v/>
      </c>
      <c r="O12" s="19" t="str">
        <f aca="false">IF(OR(G12="",M12=""),"",M12-G12-N12)</f>
        <v/>
      </c>
      <c r="P12" s="7" t="s">
        <v>736</v>
      </c>
    </row>
    <row r="13" customFormat="false" ht="15" hidden="false" customHeight="false" outlineLevel="0" collapsed="false">
      <c r="C13" s="0" t="n">
        <v>4</v>
      </c>
      <c r="D13" s="0" t="s">
        <v>735</v>
      </c>
      <c r="E13" s="0" t="s">
        <v>255</v>
      </c>
      <c r="F13" s="9" t="str">
        <f aca="false">IF('Inputs - SKU Register'!H69="","",'Inputs - SKU Register'!H69)</f>
        <v/>
      </c>
      <c r="G13" s="6" t="str">
        <f aca="false">IF(F13="","",F13*'WBS Budget'!K110)</f>
        <v/>
      </c>
      <c r="H13" s="7" t="s">
        <v>257</v>
      </c>
      <c r="I13" s="9" t="str">
        <f aca="false">IF('Inputs - SKU Register'!H70="","",'Inputs - SKU Register'!H70)</f>
        <v/>
      </c>
      <c r="J13" s="6" t="str">
        <f aca="false">IF(OR(I13="",'Revenue &amp; Operations'!E10=""),"",'Revenue &amp; Operations'!E10/12*I13)</f>
        <v/>
      </c>
      <c r="K13" s="6" t="str">
        <f aca="false">IF(OR(J13="",'Inputs - SKU Register'!H40="",'Inputs - SKU Register'!H41="",'Rent Roll'!E14=""),"",J13*(1-'Inputs - SKU Register'!H41)+('Rent Roll'!E14*I13*'Inputs - SKU Register'!H40))</f>
        <v/>
      </c>
      <c r="L13" s="6" t="str">
        <f aca="false">IF(COUNT('Revenue &amp; Operations'!E15:E28)=0,"",SUM('Revenue &amp; Operations'!E15:E28)/12)</f>
        <v/>
      </c>
      <c r="M13" s="19" t="str">
        <f aca="false">IF(OR(K13="",L13=""),"",K13+L13)</f>
        <v/>
      </c>
      <c r="O13" s="19" t="str">
        <f aca="false">IF(OR(G13="",M13=""),"",M13-G13-N13)</f>
        <v/>
      </c>
      <c r="P13" s="7" t="s">
        <v>736</v>
      </c>
    </row>
    <row r="14" customFormat="false" ht="15" hidden="false" customHeight="false" outlineLevel="0" collapsed="false">
      <c r="C14" s="0" t="n">
        <v>5</v>
      </c>
      <c r="D14" s="0" t="s">
        <v>735</v>
      </c>
      <c r="E14" s="0" t="s">
        <v>259</v>
      </c>
      <c r="F14" s="9" t="str">
        <f aca="false">IF('Inputs - SKU Register'!H71="","",'Inputs - SKU Register'!H71)</f>
        <v/>
      </c>
      <c r="G14" s="6" t="str">
        <f aca="false">IF(F14="","",F14*'WBS Budget'!K110)</f>
        <v/>
      </c>
      <c r="H14" s="7" t="s">
        <v>261</v>
      </c>
      <c r="I14" s="9" t="str">
        <f aca="false">IF('Inputs - SKU Register'!H72="","",'Inputs - SKU Register'!H72)</f>
        <v/>
      </c>
      <c r="J14" s="6" t="str">
        <f aca="false">IF(OR(I14="",'Revenue &amp; Operations'!E10=""),"",'Revenue &amp; Operations'!E10/12*I14)</f>
        <v/>
      </c>
      <c r="K14" s="6" t="str">
        <f aca="false">IF(OR(J14="",'Inputs - SKU Register'!H40="",'Inputs - SKU Register'!H41="",'Rent Roll'!E14=""),"",J14*(1-'Inputs - SKU Register'!H41)+('Rent Roll'!E14*I14*'Inputs - SKU Register'!H40))</f>
        <v/>
      </c>
      <c r="L14" s="6" t="str">
        <f aca="false">IF(COUNT('Revenue &amp; Operations'!E15:E28)=0,"",SUM('Revenue &amp; Operations'!E15:E28)/12)</f>
        <v/>
      </c>
      <c r="M14" s="19" t="str">
        <f aca="false">IF(OR(K14="",L14=""),"",K14+L14)</f>
        <v/>
      </c>
      <c r="O14" s="19" t="str">
        <f aca="false">IF(OR(G14="",M14=""),"",M14-G14-N14)</f>
        <v/>
      </c>
      <c r="P14" s="7" t="s">
        <v>736</v>
      </c>
    </row>
    <row r="15" customFormat="false" ht="15" hidden="false" customHeight="false" outlineLevel="0" collapsed="false">
      <c r="C15" s="0" t="n">
        <v>6</v>
      </c>
      <c r="D15" s="0" t="s">
        <v>735</v>
      </c>
      <c r="E15" s="0" t="s">
        <v>263</v>
      </c>
      <c r="F15" s="9" t="str">
        <f aca="false">IF('Inputs - SKU Register'!H73="","",'Inputs - SKU Register'!H73)</f>
        <v/>
      </c>
      <c r="G15" s="6" t="str">
        <f aca="false">IF(F15="","",F15*'WBS Budget'!K110)</f>
        <v/>
      </c>
      <c r="H15" s="7" t="s">
        <v>265</v>
      </c>
      <c r="I15" s="9" t="str">
        <f aca="false">IF('Inputs - SKU Register'!H74="","",'Inputs - SKU Register'!H74)</f>
        <v/>
      </c>
      <c r="J15" s="6" t="str">
        <f aca="false">IF(OR(I15="",'Revenue &amp; Operations'!E10=""),"",'Revenue &amp; Operations'!E10/12*I15)</f>
        <v/>
      </c>
      <c r="K15" s="6" t="str">
        <f aca="false">IF(OR(J15="",'Inputs - SKU Register'!H40="",'Inputs - SKU Register'!H41="",'Rent Roll'!E14=""),"",J15*(1-'Inputs - SKU Register'!H41)+('Rent Roll'!E14*I15*'Inputs - SKU Register'!H40))</f>
        <v/>
      </c>
      <c r="L15" s="6" t="str">
        <f aca="false">IF(COUNT('Revenue &amp; Operations'!E15:E28)=0,"",SUM('Revenue &amp; Operations'!E15:E28)/12)</f>
        <v/>
      </c>
      <c r="M15" s="19" t="str">
        <f aca="false">IF(OR(K15="",L15=""),"",K15+L15)</f>
        <v/>
      </c>
      <c r="O15" s="19" t="str">
        <f aca="false">IF(OR(G15="",M15=""),"",M15-G15-N15)</f>
        <v/>
      </c>
      <c r="P15" s="7" t="s">
        <v>736</v>
      </c>
    </row>
    <row r="16" customFormat="false" ht="15" hidden="false" customHeight="false" outlineLevel="0" collapsed="false">
      <c r="C16" s="0" t="n">
        <v>7</v>
      </c>
      <c r="D16" s="0" t="s">
        <v>735</v>
      </c>
      <c r="E16" s="0" t="s">
        <v>267</v>
      </c>
      <c r="F16" s="9" t="str">
        <f aca="false">IF('Inputs - SKU Register'!H75="","",'Inputs - SKU Register'!H75)</f>
        <v/>
      </c>
      <c r="G16" s="6" t="str">
        <f aca="false">IF(F16="","",F16*'WBS Budget'!K110)</f>
        <v/>
      </c>
      <c r="H16" s="7" t="s">
        <v>269</v>
      </c>
      <c r="I16" s="9" t="str">
        <f aca="false">IF('Inputs - SKU Register'!H76="","",'Inputs - SKU Register'!H76)</f>
        <v/>
      </c>
      <c r="J16" s="6" t="str">
        <f aca="false">IF(OR(I16="",'Revenue &amp; Operations'!E10=""),"",'Revenue &amp; Operations'!E10/12*I16)</f>
        <v/>
      </c>
      <c r="K16" s="6" t="str">
        <f aca="false">IF(OR(J16="",'Inputs - SKU Register'!H40="",'Inputs - SKU Register'!H41="",'Rent Roll'!E14=""),"",J16*(1-'Inputs - SKU Register'!H41)+('Rent Roll'!E14*I16*'Inputs - SKU Register'!H40))</f>
        <v/>
      </c>
      <c r="L16" s="6" t="str">
        <f aca="false">IF(COUNT('Revenue &amp; Operations'!E15:E28)=0,"",SUM('Revenue &amp; Operations'!E15:E28)/12)</f>
        <v/>
      </c>
      <c r="M16" s="19" t="str">
        <f aca="false">IF(OR(K16="",L16=""),"",K16+L16)</f>
        <v/>
      </c>
      <c r="O16" s="19" t="str">
        <f aca="false">IF(OR(G16="",M16=""),"",M16-G16-N16)</f>
        <v/>
      </c>
      <c r="P16" s="7" t="s">
        <v>736</v>
      </c>
    </row>
    <row r="17" customFormat="false" ht="15" hidden="false" customHeight="false" outlineLevel="0" collapsed="false">
      <c r="C17" s="0" t="n">
        <v>8</v>
      </c>
      <c r="D17" s="0" t="s">
        <v>735</v>
      </c>
      <c r="E17" s="0" t="s">
        <v>271</v>
      </c>
      <c r="F17" s="9" t="str">
        <f aca="false">IF('Inputs - SKU Register'!H77="","",'Inputs - SKU Register'!H77)</f>
        <v/>
      </c>
      <c r="G17" s="6" t="str">
        <f aca="false">IF(F17="","",F17*'WBS Budget'!K110)</f>
        <v/>
      </c>
      <c r="H17" s="7" t="s">
        <v>273</v>
      </c>
      <c r="I17" s="9" t="str">
        <f aca="false">IF('Inputs - SKU Register'!H78="","",'Inputs - SKU Register'!H78)</f>
        <v/>
      </c>
      <c r="J17" s="6" t="str">
        <f aca="false">IF(OR(I17="",'Revenue &amp; Operations'!E10=""),"",'Revenue &amp; Operations'!E10/12*I17)</f>
        <v/>
      </c>
      <c r="K17" s="6" t="str">
        <f aca="false">IF(OR(J17="",'Inputs - SKU Register'!H40="",'Inputs - SKU Register'!H41="",'Rent Roll'!E14=""),"",J17*(1-'Inputs - SKU Register'!H41)+('Rent Roll'!E14*I17*'Inputs - SKU Register'!H40))</f>
        <v/>
      </c>
      <c r="L17" s="6" t="str">
        <f aca="false">IF(COUNT('Revenue &amp; Operations'!E15:E28)=0,"",SUM('Revenue &amp; Operations'!E15:E28)/12)</f>
        <v/>
      </c>
      <c r="M17" s="19" t="str">
        <f aca="false">IF(OR(K17="",L17=""),"",K17+L17)</f>
        <v/>
      </c>
      <c r="O17" s="19" t="str">
        <f aca="false">IF(OR(G17="",M17=""),"",M17-G17-N17)</f>
        <v/>
      </c>
      <c r="P17" s="7" t="s">
        <v>736</v>
      </c>
    </row>
    <row r="18" customFormat="false" ht="15" hidden="false" customHeight="false" outlineLevel="0" collapsed="false">
      <c r="C18" s="0" t="n">
        <v>9</v>
      </c>
      <c r="D18" s="0" t="s">
        <v>735</v>
      </c>
      <c r="E18" s="0" t="s">
        <v>275</v>
      </c>
      <c r="F18" s="9" t="str">
        <f aca="false">IF('Inputs - SKU Register'!H79="","",'Inputs - SKU Register'!H79)</f>
        <v/>
      </c>
      <c r="G18" s="6" t="str">
        <f aca="false">IF(F18="","",F18*'WBS Budget'!K110)</f>
        <v/>
      </c>
      <c r="H18" s="7" t="s">
        <v>277</v>
      </c>
      <c r="I18" s="9" t="str">
        <f aca="false">IF('Inputs - SKU Register'!H80="","",'Inputs - SKU Register'!H80)</f>
        <v/>
      </c>
      <c r="J18" s="6" t="str">
        <f aca="false">IF(OR(I18="",'Revenue &amp; Operations'!E10=""),"",'Revenue &amp; Operations'!E10/12*I18)</f>
        <v/>
      </c>
      <c r="K18" s="6" t="str">
        <f aca="false">IF(OR(J18="",'Inputs - SKU Register'!H40="",'Inputs - SKU Register'!H41="",'Rent Roll'!E14=""),"",J18*(1-'Inputs - SKU Register'!H41)+('Rent Roll'!E14*I18*'Inputs - SKU Register'!H40))</f>
        <v/>
      </c>
      <c r="L18" s="6" t="str">
        <f aca="false">IF(COUNT('Revenue &amp; Operations'!E15:E28)=0,"",SUM('Revenue &amp; Operations'!E15:E28)/12)</f>
        <v/>
      </c>
      <c r="M18" s="19" t="str">
        <f aca="false">IF(OR(K18="",L18=""),"",K18+L18)</f>
        <v/>
      </c>
      <c r="O18" s="19" t="str">
        <f aca="false">IF(OR(G18="",M18=""),"",M18-G18-N18)</f>
        <v/>
      </c>
      <c r="P18" s="7" t="s">
        <v>736</v>
      </c>
    </row>
    <row r="19" customFormat="false" ht="15" hidden="false" customHeight="false" outlineLevel="0" collapsed="false">
      <c r="C19" s="0" t="n">
        <v>10</v>
      </c>
      <c r="D19" s="0" t="s">
        <v>735</v>
      </c>
      <c r="E19" s="0" t="s">
        <v>279</v>
      </c>
      <c r="F19" s="9" t="str">
        <f aca="false">IF('Inputs - SKU Register'!H81="","",'Inputs - SKU Register'!H81)</f>
        <v/>
      </c>
      <c r="G19" s="6" t="str">
        <f aca="false">IF(F19="","",F19*'WBS Budget'!K110)</f>
        <v/>
      </c>
      <c r="H19" s="7" t="s">
        <v>281</v>
      </c>
      <c r="I19" s="9" t="str">
        <f aca="false">IF('Inputs - SKU Register'!H82="","",'Inputs - SKU Register'!H82)</f>
        <v/>
      </c>
      <c r="J19" s="6" t="str">
        <f aca="false">IF(OR(I19="",'Revenue &amp; Operations'!E10=""),"",'Revenue &amp; Operations'!E10/12*I19)</f>
        <v/>
      </c>
      <c r="K19" s="6" t="str">
        <f aca="false">IF(OR(J19="",'Inputs - SKU Register'!H40="",'Inputs - SKU Register'!H41="",'Rent Roll'!E14=""),"",J19*(1-'Inputs - SKU Register'!H41)+('Rent Roll'!E14*I19*'Inputs - SKU Register'!H40))</f>
        <v/>
      </c>
      <c r="L19" s="6" t="str">
        <f aca="false">IF(COUNT('Revenue &amp; Operations'!E15:E28)=0,"",SUM('Revenue &amp; Operations'!E15:E28)/12)</f>
        <v/>
      </c>
      <c r="M19" s="19" t="str">
        <f aca="false">IF(OR(K19="",L19=""),"",K19+L19)</f>
        <v/>
      </c>
      <c r="O19" s="19" t="str">
        <f aca="false">IF(OR(G19="",M19=""),"",M19-G19-N19)</f>
        <v/>
      </c>
      <c r="P19" s="7" t="s">
        <v>736</v>
      </c>
    </row>
    <row r="20" customFormat="false" ht="15" hidden="false" customHeight="false" outlineLevel="0" collapsed="false">
      <c r="C20" s="0" t="n">
        <v>11</v>
      </c>
      <c r="D20" s="0" t="s">
        <v>735</v>
      </c>
      <c r="E20" s="0" t="s">
        <v>283</v>
      </c>
      <c r="F20" s="9" t="str">
        <f aca="false">IF('Inputs - SKU Register'!H83="","",'Inputs - SKU Register'!H83)</f>
        <v/>
      </c>
      <c r="G20" s="6" t="str">
        <f aca="false">IF(F20="","",F20*'WBS Budget'!K110)</f>
        <v/>
      </c>
      <c r="H20" s="7" t="s">
        <v>285</v>
      </c>
      <c r="I20" s="9" t="str">
        <f aca="false">IF('Inputs - SKU Register'!H84="","",'Inputs - SKU Register'!H84)</f>
        <v/>
      </c>
      <c r="J20" s="6" t="str">
        <f aca="false">IF(OR(I20="",'Revenue &amp; Operations'!E10=""),"",'Revenue &amp; Operations'!E10/12*I20)</f>
        <v/>
      </c>
      <c r="K20" s="6" t="str">
        <f aca="false">IF(OR(J20="",'Inputs - SKU Register'!H40="",'Inputs - SKU Register'!H41="",'Rent Roll'!E14=""),"",J20*(1-'Inputs - SKU Register'!H41)+('Rent Roll'!E14*I20*'Inputs - SKU Register'!H40))</f>
        <v/>
      </c>
      <c r="L20" s="6" t="str">
        <f aca="false">IF(COUNT('Revenue &amp; Operations'!E15:E28)=0,"",SUM('Revenue &amp; Operations'!E15:E28)/12)</f>
        <v/>
      </c>
      <c r="M20" s="19" t="str">
        <f aca="false">IF(OR(K20="",L20=""),"",K20+L20)</f>
        <v/>
      </c>
      <c r="O20" s="19" t="str">
        <f aca="false">IF(OR(G20="",M20=""),"",M20-G20-N20)</f>
        <v/>
      </c>
      <c r="P20" s="7" t="s">
        <v>736</v>
      </c>
    </row>
    <row r="21" customFormat="false" ht="15" hidden="false" customHeight="false" outlineLevel="0" collapsed="false">
      <c r="C21" s="0" t="n">
        <v>12</v>
      </c>
      <c r="D21" s="0" t="s">
        <v>735</v>
      </c>
      <c r="E21" s="0" t="s">
        <v>287</v>
      </c>
      <c r="F21" s="9" t="str">
        <f aca="false">IF('Inputs - SKU Register'!H85="","",'Inputs - SKU Register'!H85)</f>
        <v/>
      </c>
      <c r="G21" s="6" t="str">
        <f aca="false">IF(F21="","",F21*'WBS Budget'!K110)</f>
        <v/>
      </c>
      <c r="H21" s="7" t="s">
        <v>289</v>
      </c>
      <c r="I21" s="9" t="str">
        <f aca="false">IF('Inputs - SKU Register'!H86="","",'Inputs - SKU Register'!H86)</f>
        <v/>
      </c>
      <c r="J21" s="6" t="str">
        <f aca="false">IF(OR(I21="",'Revenue &amp; Operations'!E10=""),"",'Revenue &amp; Operations'!E10/12*I21)</f>
        <v/>
      </c>
      <c r="K21" s="6" t="str">
        <f aca="false">IF(OR(J21="",'Inputs - SKU Register'!H40="",'Inputs - SKU Register'!H41="",'Rent Roll'!E14=""),"",J21*(1-'Inputs - SKU Register'!H41)+('Rent Roll'!E14*I21*'Inputs - SKU Register'!H40))</f>
        <v/>
      </c>
      <c r="L21" s="6" t="str">
        <f aca="false">IF(COUNT('Revenue &amp; Operations'!E15:E28)=0,"",SUM('Revenue &amp; Operations'!E15:E28)/12)</f>
        <v/>
      </c>
      <c r="M21" s="19" t="str">
        <f aca="false">IF(OR(K21="",L21=""),"",K21+L21)</f>
        <v/>
      </c>
      <c r="O21" s="19" t="str">
        <f aca="false">IF(OR(G21="",M21=""),"",M21-G21-N21)</f>
        <v/>
      </c>
      <c r="P21" s="7" t="s">
        <v>736</v>
      </c>
    </row>
    <row r="22" customFormat="false" ht="15" hidden="false" customHeight="false" outlineLevel="0" collapsed="false">
      <c r="C22" s="0" t="n">
        <v>13</v>
      </c>
      <c r="D22" s="0" t="s">
        <v>735</v>
      </c>
      <c r="E22" s="0" t="s">
        <v>291</v>
      </c>
      <c r="F22" s="9" t="str">
        <f aca="false">IF('Inputs - SKU Register'!H87="","",'Inputs - SKU Register'!H87)</f>
        <v/>
      </c>
      <c r="G22" s="6" t="str">
        <f aca="false">IF(F22="","",F22*'WBS Budget'!K110)</f>
        <v/>
      </c>
      <c r="H22" s="7" t="s">
        <v>293</v>
      </c>
      <c r="I22" s="9" t="str">
        <f aca="false">IF('Inputs - SKU Register'!H88="","",'Inputs - SKU Register'!H88)</f>
        <v/>
      </c>
      <c r="J22" s="6" t="str">
        <f aca="false">IF(OR(I22="",'Revenue &amp; Operations'!E10=""),"",'Revenue &amp; Operations'!E10/12*I22)</f>
        <v/>
      </c>
      <c r="K22" s="6" t="str">
        <f aca="false">IF(OR(J22="",'Inputs - SKU Register'!H40="",'Inputs - SKU Register'!H41="",'Rent Roll'!E14=""),"",J22*(1-'Inputs - SKU Register'!H41)+('Rent Roll'!E14*I22*'Inputs - SKU Register'!H40))</f>
        <v/>
      </c>
      <c r="L22" s="6" t="str">
        <f aca="false">IF(COUNT('Revenue &amp; Operations'!E15:E28)=0,"",SUM('Revenue &amp; Operations'!E15:E28)/12)</f>
        <v/>
      </c>
      <c r="M22" s="19" t="str">
        <f aca="false">IF(OR(K22="",L22=""),"",K22+L22)</f>
        <v/>
      </c>
      <c r="O22" s="19" t="str">
        <f aca="false">IF(OR(G22="",M22=""),"",M22-G22-N22)</f>
        <v/>
      </c>
      <c r="P22" s="7" t="s">
        <v>736</v>
      </c>
    </row>
    <row r="23" customFormat="false" ht="15" hidden="false" customHeight="false" outlineLevel="0" collapsed="false">
      <c r="C23" s="0" t="n">
        <v>14</v>
      </c>
      <c r="D23" s="0" t="s">
        <v>735</v>
      </c>
      <c r="E23" s="0" t="s">
        <v>295</v>
      </c>
      <c r="F23" s="9" t="str">
        <f aca="false">IF('Inputs - SKU Register'!H89="","",'Inputs - SKU Register'!H89)</f>
        <v/>
      </c>
      <c r="G23" s="6" t="str">
        <f aca="false">IF(F23="","",F23*'WBS Budget'!K110)</f>
        <v/>
      </c>
      <c r="H23" s="7" t="s">
        <v>297</v>
      </c>
      <c r="I23" s="9" t="str">
        <f aca="false">IF('Inputs - SKU Register'!H90="","",'Inputs - SKU Register'!H90)</f>
        <v/>
      </c>
      <c r="J23" s="6" t="str">
        <f aca="false">IF(OR(I23="",'Revenue &amp; Operations'!E10=""),"",'Revenue &amp; Operations'!E10/12*I23)</f>
        <v/>
      </c>
      <c r="K23" s="6" t="str">
        <f aca="false">IF(OR(J23="",'Inputs - SKU Register'!H40="",'Inputs - SKU Register'!H41="",'Rent Roll'!E14=""),"",J23*(1-'Inputs - SKU Register'!H41)+('Rent Roll'!E14*I23*'Inputs - SKU Register'!H40))</f>
        <v/>
      </c>
      <c r="L23" s="6" t="str">
        <f aca="false">IF(COUNT('Revenue &amp; Operations'!E15:E28)=0,"",SUM('Revenue &amp; Operations'!E15:E28)/12)</f>
        <v/>
      </c>
      <c r="M23" s="19" t="str">
        <f aca="false">IF(OR(K23="",L23=""),"",K23+L23)</f>
        <v/>
      </c>
      <c r="O23" s="19" t="str">
        <f aca="false">IF(OR(G23="",M23=""),"",M23-G23-N23)</f>
        <v/>
      </c>
      <c r="P23" s="7" t="s">
        <v>736</v>
      </c>
    </row>
    <row r="24" customFormat="false" ht="15" hidden="false" customHeight="false" outlineLevel="0" collapsed="false">
      <c r="C24" s="0" t="n">
        <v>15</v>
      </c>
      <c r="D24" s="0" t="s">
        <v>735</v>
      </c>
      <c r="E24" s="0" t="s">
        <v>299</v>
      </c>
      <c r="F24" s="9" t="str">
        <f aca="false">IF('Inputs - SKU Register'!H91="","",'Inputs - SKU Register'!H91)</f>
        <v/>
      </c>
      <c r="G24" s="6" t="str">
        <f aca="false">IF(F24="","",F24*'WBS Budget'!K110)</f>
        <v/>
      </c>
      <c r="H24" s="7" t="s">
        <v>301</v>
      </c>
      <c r="I24" s="9" t="str">
        <f aca="false">IF('Inputs - SKU Register'!H92="","",'Inputs - SKU Register'!H92)</f>
        <v/>
      </c>
      <c r="J24" s="6" t="str">
        <f aca="false">IF(OR(I24="",'Revenue &amp; Operations'!E10=""),"",'Revenue &amp; Operations'!E10/12*I24)</f>
        <v/>
      </c>
      <c r="K24" s="6" t="str">
        <f aca="false">IF(OR(J24="",'Inputs - SKU Register'!H40="",'Inputs - SKU Register'!H41="",'Rent Roll'!E14=""),"",J24*(1-'Inputs - SKU Register'!H41)+('Rent Roll'!E14*I24*'Inputs - SKU Register'!H40))</f>
        <v/>
      </c>
      <c r="L24" s="6" t="str">
        <f aca="false">IF(COUNT('Revenue &amp; Operations'!E15:E28)=0,"",SUM('Revenue &amp; Operations'!E15:E28)/12)</f>
        <v/>
      </c>
      <c r="M24" s="19" t="str">
        <f aca="false">IF(OR(K24="",L24=""),"",K24+L24)</f>
        <v/>
      </c>
      <c r="O24" s="19" t="str">
        <f aca="false">IF(OR(G24="",M24=""),"",M24-G24-N24)</f>
        <v/>
      </c>
      <c r="P24" s="7" t="s">
        <v>736</v>
      </c>
    </row>
    <row r="25" customFormat="false" ht="15" hidden="false" customHeight="false" outlineLevel="0" collapsed="false">
      <c r="C25" s="0" t="n">
        <v>16</v>
      </c>
      <c r="D25" s="0" t="s">
        <v>735</v>
      </c>
      <c r="E25" s="0" t="s">
        <v>303</v>
      </c>
      <c r="F25" s="9" t="str">
        <f aca="false">IF('Inputs - SKU Register'!H93="","",'Inputs - SKU Register'!H93)</f>
        <v/>
      </c>
      <c r="G25" s="6" t="str">
        <f aca="false">IF(F25="","",F25*'WBS Budget'!K110)</f>
        <v/>
      </c>
      <c r="H25" s="7" t="s">
        <v>305</v>
      </c>
      <c r="I25" s="9" t="str">
        <f aca="false">IF('Inputs - SKU Register'!H94="","",'Inputs - SKU Register'!H94)</f>
        <v/>
      </c>
      <c r="J25" s="6" t="str">
        <f aca="false">IF(OR(I25="",'Revenue &amp; Operations'!E10=""),"",'Revenue &amp; Operations'!E10/12*I25)</f>
        <v/>
      </c>
      <c r="K25" s="6" t="str">
        <f aca="false">IF(OR(J25="",'Inputs - SKU Register'!H40="",'Inputs - SKU Register'!H41="",'Rent Roll'!E14=""),"",J25*(1-'Inputs - SKU Register'!H41)+('Rent Roll'!E14*I25*'Inputs - SKU Register'!H40))</f>
        <v/>
      </c>
      <c r="L25" s="6" t="str">
        <f aca="false">IF(COUNT('Revenue &amp; Operations'!E15:E28)=0,"",SUM('Revenue &amp; Operations'!E15:E28)/12)</f>
        <v/>
      </c>
      <c r="M25" s="19" t="str">
        <f aca="false">IF(OR(K25="",L25=""),"",K25+L25)</f>
        <v/>
      </c>
      <c r="O25" s="19" t="str">
        <f aca="false">IF(OR(G25="",M25=""),"",M25-G25-N25)</f>
        <v/>
      </c>
      <c r="P25" s="7" t="s">
        <v>736</v>
      </c>
    </row>
    <row r="26" customFormat="false" ht="15" hidden="false" customHeight="false" outlineLevel="0" collapsed="false">
      <c r="C26" s="0" t="n">
        <v>17</v>
      </c>
      <c r="D26" s="0" t="s">
        <v>735</v>
      </c>
      <c r="E26" s="0" t="s">
        <v>307</v>
      </c>
      <c r="F26" s="9" t="str">
        <f aca="false">IF('Inputs - SKU Register'!H95="","",'Inputs - SKU Register'!H95)</f>
        <v/>
      </c>
      <c r="G26" s="6" t="str">
        <f aca="false">IF(F26="","",F26*'WBS Budget'!K110)</f>
        <v/>
      </c>
      <c r="H26" s="7" t="s">
        <v>309</v>
      </c>
      <c r="I26" s="9" t="str">
        <f aca="false">IF('Inputs - SKU Register'!H96="","",'Inputs - SKU Register'!H96)</f>
        <v/>
      </c>
      <c r="J26" s="6" t="str">
        <f aca="false">IF(OR(I26="",'Revenue &amp; Operations'!E10=""),"",'Revenue &amp; Operations'!E10/12*I26)</f>
        <v/>
      </c>
      <c r="K26" s="6" t="str">
        <f aca="false">IF(OR(J26="",'Inputs - SKU Register'!H40="",'Inputs - SKU Register'!H41="",'Rent Roll'!E14=""),"",J26*(1-'Inputs - SKU Register'!H41)+('Rent Roll'!E14*I26*'Inputs - SKU Register'!H40))</f>
        <v/>
      </c>
      <c r="L26" s="6" t="str">
        <f aca="false">IF(COUNT('Revenue &amp; Operations'!E15:E28)=0,"",SUM('Revenue &amp; Operations'!E15:E28)/12)</f>
        <v/>
      </c>
      <c r="M26" s="19" t="str">
        <f aca="false">IF(OR(K26="",L26=""),"",K26+L26)</f>
        <v/>
      </c>
      <c r="O26" s="19" t="str">
        <f aca="false">IF(OR(G26="",M26=""),"",M26-G26-N26)</f>
        <v/>
      </c>
      <c r="P26" s="7" t="s">
        <v>736</v>
      </c>
    </row>
    <row r="27" customFormat="false" ht="15" hidden="false" customHeight="false" outlineLevel="0" collapsed="false">
      <c r="C27" s="0" t="n">
        <v>18</v>
      </c>
      <c r="D27" s="0" t="s">
        <v>735</v>
      </c>
      <c r="E27" s="0" t="s">
        <v>311</v>
      </c>
      <c r="F27" s="9" t="str">
        <f aca="false">IF('Inputs - SKU Register'!H97="","",'Inputs - SKU Register'!H97)</f>
        <v/>
      </c>
      <c r="G27" s="6" t="str">
        <f aca="false">IF(F27="","",F27*'WBS Budget'!K110)</f>
        <v/>
      </c>
      <c r="H27" s="7" t="s">
        <v>313</v>
      </c>
      <c r="I27" s="9" t="str">
        <f aca="false">IF('Inputs - SKU Register'!H98="","",'Inputs - SKU Register'!H98)</f>
        <v/>
      </c>
      <c r="J27" s="6" t="str">
        <f aca="false">IF(OR(I27="",'Revenue &amp; Operations'!E10=""),"",'Revenue &amp; Operations'!E10/12*I27)</f>
        <v/>
      </c>
      <c r="K27" s="6" t="str">
        <f aca="false">IF(OR(J27="",'Inputs - SKU Register'!H40="",'Inputs - SKU Register'!H41="",'Rent Roll'!E14=""),"",J27*(1-'Inputs - SKU Register'!H41)+('Rent Roll'!E14*I27*'Inputs - SKU Register'!H40))</f>
        <v/>
      </c>
      <c r="L27" s="6" t="str">
        <f aca="false">IF(COUNT('Revenue &amp; Operations'!E15:E28)=0,"",SUM('Revenue &amp; Operations'!E15:E28)/12)</f>
        <v/>
      </c>
      <c r="M27" s="19" t="str">
        <f aca="false">IF(OR(K27="",L27=""),"",K27+L27)</f>
        <v/>
      </c>
      <c r="O27" s="19" t="str">
        <f aca="false">IF(OR(G27="",M27=""),"",M27-G27-N27)</f>
        <v/>
      </c>
      <c r="P27" s="7" t="s">
        <v>736</v>
      </c>
    </row>
    <row r="28" customFormat="false" ht="15" hidden="false" customHeight="false" outlineLevel="0" collapsed="false">
      <c r="C28" s="0" t="n">
        <v>19</v>
      </c>
      <c r="D28" s="0" t="s">
        <v>735</v>
      </c>
      <c r="E28" s="0" t="s">
        <v>315</v>
      </c>
      <c r="F28" s="9" t="str">
        <f aca="false">IF('Inputs - SKU Register'!H99="","",'Inputs - SKU Register'!H99)</f>
        <v/>
      </c>
      <c r="G28" s="6" t="str">
        <f aca="false">IF(F28="","",F28*'WBS Budget'!K110)</f>
        <v/>
      </c>
      <c r="H28" s="7" t="s">
        <v>317</v>
      </c>
      <c r="I28" s="9" t="str">
        <f aca="false">IF('Inputs - SKU Register'!H100="","",'Inputs - SKU Register'!H100)</f>
        <v/>
      </c>
      <c r="J28" s="6" t="str">
        <f aca="false">IF(OR(I28="",'Revenue &amp; Operations'!E10=""),"",'Revenue &amp; Operations'!E10/12*I28)</f>
        <v/>
      </c>
      <c r="K28" s="6" t="str">
        <f aca="false">IF(OR(J28="",'Inputs - SKU Register'!H40="",'Inputs - SKU Register'!H41="",'Rent Roll'!E14=""),"",J28*(1-'Inputs - SKU Register'!H41)+('Rent Roll'!E14*I28*'Inputs - SKU Register'!H40))</f>
        <v/>
      </c>
      <c r="L28" s="6" t="str">
        <f aca="false">IF(COUNT('Revenue &amp; Operations'!E15:E28)=0,"",SUM('Revenue &amp; Operations'!E15:E28)/12)</f>
        <v/>
      </c>
      <c r="M28" s="19" t="str">
        <f aca="false">IF(OR(K28="",L28=""),"",K28+L28)</f>
        <v/>
      </c>
      <c r="O28" s="19" t="str">
        <f aca="false">IF(OR(G28="",M28=""),"",M28-G28-N28)</f>
        <v/>
      </c>
      <c r="P28" s="7" t="s">
        <v>736</v>
      </c>
    </row>
    <row r="29" customFormat="false" ht="15" hidden="false" customHeight="false" outlineLevel="0" collapsed="false">
      <c r="C29" s="0" t="n">
        <v>20</v>
      </c>
      <c r="D29" s="0" t="s">
        <v>735</v>
      </c>
      <c r="E29" s="0" t="s">
        <v>319</v>
      </c>
      <c r="F29" s="9" t="str">
        <f aca="false">IF('Inputs - SKU Register'!H101="","",'Inputs - SKU Register'!H101)</f>
        <v/>
      </c>
      <c r="G29" s="6" t="str">
        <f aca="false">IF(F29="","",F29*'WBS Budget'!K110)</f>
        <v/>
      </c>
      <c r="H29" s="7" t="s">
        <v>321</v>
      </c>
      <c r="I29" s="9" t="str">
        <f aca="false">IF('Inputs - SKU Register'!H102="","",'Inputs - SKU Register'!H102)</f>
        <v/>
      </c>
      <c r="J29" s="6" t="str">
        <f aca="false">IF(OR(I29="",'Revenue &amp; Operations'!E10=""),"",'Revenue &amp; Operations'!E10/12*I29)</f>
        <v/>
      </c>
      <c r="K29" s="6" t="str">
        <f aca="false">IF(OR(J29="",'Inputs - SKU Register'!H40="",'Inputs - SKU Register'!H41="",'Rent Roll'!E14=""),"",J29*(1-'Inputs - SKU Register'!H41)+('Rent Roll'!E14*I29*'Inputs - SKU Register'!H40))</f>
        <v/>
      </c>
      <c r="L29" s="6" t="str">
        <f aca="false">IF(COUNT('Revenue &amp; Operations'!E15:E28)=0,"",SUM('Revenue &amp; Operations'!E15:E28)/12)</f>
        <v/>
      </c>
      <c r="M29" s="19" t="str">
        <f aca="false">IF(OR(K29="",L29=""),"",K29+L29)</f>
        <v/>
      </c>
      <c r="O29" s="19" t="str">
        <f aca="false">IF(OR(G29="",M29=""),"",M29-G29-N29)</f>
        <v/>
      </c>
      <c r="P29" s="7" t="s">
        <v>736</v>
      </c>
    </row>
    <row r="30" customFormat="false" ht="15" hidden="false" customHeight="false" outlineLevel="0" collapsed="false">
      <c r="C30" s="0" t="n">
        <v>21</v>
      </c>
      <c r="D30" s="0" t="s">
        <v>735</v>
      </c>
      <c r="E30" s="0" t="s">
        <v>323</v>
      </c>
      <c r="F30" s="9" t="str">
        <f aca="false">IF('Inputs - SKU Register'!H103="","",'Inputs - SKU Register'!H103)</f>
        <v/>
      </c>
      <c r="G30" s="6" t="str">
        <f aca="false">IF(F30="","",F30*'WBS Budget'!K110)</f>
        <v/>
      </c>
      <c r="H30" s="7" t="s">
        <v>325</v>
      </c>
      <c r="I30" s="9" t="str">
        <f aca="false">IF('Inputs - SKU Register'!H104="","",'Inputs - SKU Register'!H104)</f>
        <v/>
      </c>
      <c r="J30" s="6" t="str">
        <f aca="false">IF(OR(I30="",'Revenue &amp; Operations'!E10=""),"",'Revenue &amp; Operations'!E10/12*I30)</f>
        <v/>
      </c>
      <c r="K30" s="6" t="str">
        <f aca="false">IF(OR(J30="",'Inputs - SKU Register'!H40="",'Inputs - SKU Register'!H41="",'Rent Roll'!E14=""),"",J30*(1-'Inputs - SKU Register'!H41)+('Rent Roll'!E14*I30*'Inputs - SKU Register'!H40))</f>
        <v/>
      </c>
      <c r="L30" s="6" t="str">
        <f aca="false">IF(COUNT('Revenue &amp; Operations'!E15:E28)=0,"",SUM('Revenue &amp; Operations'!E15:E28)/12)</f>
        <v/>
      </c>
      <c r="M30" s="19" t="str">
        <f aca="false">IF(OR(K30="",L30=""),"",K30+L30)</f>
        <v/>
      </c>
      <c r="O30" s="19" t="str">
        <f aca="false">IF(OR(G30="",M30=""),"",M30-G30-N30)</f>
        <v/>
      </c>
      <c r="P30" s="7" t="s">
        <v>736</v>
      </c>
    </row>
    <row r="31" customFormat="false" ht="15" hidden="false" customHeight="false" outlineLevel="0" collapsed="false">
      <c r="C31" s="0" t="n">
        <v>22</v>
      </c>
      <c r="D31" s="0" t="s">
        <v>735</v>
      </c>
      <c r="E31" s="0" t="s">
        <v>327</v>
      </c>
      <c r="F31" s="9" t="str">
        <f aca="false">IF('Inputs - SKU Register'!H105="","",'Inputs - SKU Register'!H105)</f>
        <v/>
      </c>
      <c r="G31" s="6" t="str">
        <f aca="false">IF(F31="","",F31*'WBS Budget'!K110)</f>
        <v/>
      </c>
      <c r="H31" s="7" t="s">
        <v>329</v>
      </c>
      <c r="I31" s="9" t="str">
        <f aca="false">IF('Inputs - SKU Register'!H106="","",'Inputs - SKU Register'!H106)</f>
        <v/>
      </c>
      <c r="J31" s="6" t="str">
        <f aca="false">IF(OR(I31="",'Revenue &amp; Operations'!E10=""),"",'Revenue &amp; Operations'!E10/12*I31)</f>
        <v/>
      </c>
      <c r="K31" s="6" t="str">
        <f aca="false">IF(OR(J31="",'Inputs - SKU Register'!H40="",'Inputs - SKU Register'!H41="",'Rent Roll'!E14=""),"",J31*(1-'Inputs - SKU Register'!H41)+('Rent Roll'!E14*I31*'Inputs - SKU Register'!H40))</f>
        <v/>
      </c>
      <c r="L31" s="6" t="str">
        <f aca="false">IF(COUNT('Revenue &amp; Operations'!E15:E28)=0,"",SUM('Revenue &amp; Operations'!E15:E28)/12)</f>
        <v/>
      </c>
      <c r="M31" s="19" t="str">
        <f aca="false">IF(OR(K31="",L31=""),"",K31+L31)</f>
        <v/>
      </c>
      <c r="O31" s="19" t="str">
        <f aca="false">IF(OR(G31="",M31=""),"",M31-G31-N31)</f>
        <v/>
      </c>
      <c r="P31" s="7" t="s">
        <v>736</v>
      </c>
    </row>
    <row r="32" customFormat="false" ht="15" hidden="false" customHeight="false" outlineLevel="0" collapsed="false">
      <c r="C32" s="0" t="n">
        <v>23</v>
      </c>
      <c r="D32" s="0" t="s">
        <v>735</v>
      </c>
      <c r="E32" s="0" t="s">
        <v>331</v>
      </c>
      <c r="F32" s="9" t="str">
        <f aca="false">IF('Inputs - SKU Register'!H107="","",'Inputs - SKU Register'!H107)</f>
        <v/>
      </c>
      <c r="G32" s="6" t="str">
        <f aca="false">IF(F32="","",F32*'WBS Budget'!K110)</f>
        <v/>
      </c>
      <c r="H32" s="7" t="s">
        <v>333</v>
      </c>
      <c r="I32" s="9" t="str">
        <f aca="false">IF('Inputs - SKU Register'!H108="","",'Inputs - SKU Register'!H108)</f>
        <v/>
      </c>
      <c r="J32" s="6" t="str">
        <f aca="false">IF(OR(I32="",'Revenue &amp; Operations'!E10=""),"",'Revenue &amp; Operations'!E10/12*I32)</f>
        <v/>
      </c>
      <c r="K32" s="6" t="str">
        <f aca="false">IF(OR(J32="",'Inputs - SKU Register'!H40="",'Inputs - SKU Register'!H41="",'Rent Roll'!E14=""),"",J32*(1-'Inputs - SKU Register'!H41)+('Rent Roll'!E14*I32*'Inputs - SKU Register'!H40))</f>
        <v/>
      </c>
      <c r="L32" s="6" t="str">
        <f aca="false">IF(COUNT('Revenue &amp; Operations'!E15:E28)=0,"",SUM('Revenue &amp; Operations'!E15:E28)/12)</f>
        <v/>
      </c>
      <c r="M32" s="19" t="str">
        <f aca="false">IF(OR(K32="",L32=""),"",K32+L32)</f>
        <v/>
      </c>
      <c r="O32" s="19" t="str">
        <f aca="false">IF(OR(G32="",M32=""),"",M32-G32-N32)</f>
        <v/>
      </c>
      <c r="P32" s="7" t="s">
        <v>736</v>
      </c>
    </row>
    <row r="33" customFormat="false" ht="15" hidden="false" customHeight="false" outlineLevel="0" collapsed="false">
      <c r="C33" s="0" t="n">
        <v>24</v>
      </c>
      <c r="D33" s="0" t="s">
        <v>735</v>
      </c>
      <c r="E33" s="0" t="s">
        <v>335</v>
      </c>
      <c r="F33" s="9" t="str">
        <f aca="false">IF('Inputs - SKU Register'!H109="","",'Inputs - SKU Register'!H109)</f>
        <v/>
      </c>
      <c r="G33" s="6" t="str">
        <f aca="false">IF(F33="","",F33*'WBS Budget'!K110)</f>
        <v/>
      </c>
      <c r="H33" s="7" t="s">
        <v>337</v>
      </c>
      <c r="I33" s="9" t="str">
        <f aca="false">IF('Inputs - SKU Register'!H110="","",'Inputs - SKU Register'!H110)</f>
        <v/>
      </c>
      <c r="J33" s="6" t="str">
        <f aca="false">IF(OR(I33="",'Revenue &amp; Operations'!E10=""),"",'Revenue &amp; Operations'!E10/12*I33)</f>
        <v/>
      </c>
      <c r="K33" s="6" t="str">
        <f aca="false">IF(OR(J33="",'Inputs - SKU Register'!H40="",'Inputs - SKU Register'!H41="",'Rent Roll'!E14=""),"",J33*(1-'Inputs - SKU Register'!H41)+('Rent Roll'!E14*I33*'Inputs - SKU Register'!H40))</f>
        <v/>
      </c>
      <c r="L33" s="6" t="str">
        <f aca="false">IF(COUNT('Revenue &amp; Operations'!E15:E28)=0,"",SUM('Revenue &amp; Operations'!E15:E28)/12)</f>
        <v/>
      </c>
      <c r="M33" s="19" t="str">
        <f aca="false">IF(OR(K33="",L33=""),"",K33+L33)</f>
        <v/>
      </c>
      <c r="O33" s="19" t="str">
        <f aca="false">IF(OR(G33="",M33=""),"",M33-G33-N33)</f>
        <v/>
      </c>
      <c r="P33" s="7" t="s">
        <v>736</v>
      </c>
    </row>
    <row r="34" customFormat="false" ht="15" hidden="false" customHeight="false" outlineLevel="0" collapsed="false">
      <c r="C34" s="0" t="n">
        <v>25</v>
      </c>
      <c r="D34" s="0" t="s">
        <v>735</v>
      </c>
      <c r="E34" s="0" t="s">
        <v>339</v>
      </c>
      <c r="F34" s="9" t="str">
        <f aca="false">IF('Inputs - SKU Register'!H111="","",'Inputs - SKU Register'!H111)</f>
        <v/>
      </c>
      <c r="G34" s="6" t="str">
        <f aca="false">IF(F34="","",F34*'WBS Budget'!K110)</f>
        <v/>
      </c>
      <c r="H34" s="7" t="s">
        <v>341</v>
      </c>
      <c r="I34" s="9" t="str">
        <f aca="false">IF('Inputs - SKU Register'!H112="","",'Inputs - SKU Register'!H112)</f>
        <v/>
      </c>
      <c r="J34" s="6" t="str">
        <f aca="false">IF(OR(I34="",'Revenue &amp; Operations'!E10=""),"",'Revenue &amp; Operations'!E10/12*I34)</f>
        <v/>
      </c>
      <c r="K34" s="6" t="str">
        <f aca="false">IF(OR(J34="",'Inputs - SKU Register'!H40="",'Inputs - SKU Register'!H41="",'Rent Roll'!E14=""),"",J34*(1-'Inputs - SKU Register'!H41)+('Rent Roll'!E14*I34*'Inputs - SKU Register'!H40))</f>
        <v/>
      </c>
      <c r="L34" s="6" t="str">
        <f aca="false">IF(COUNT('Revenue &amp; Operations'!E15:E28)=0,"",SUM('Revenue &amp; Operations'!E15:E28)/12)</f>
        <v/>
      </c>
      <c r="M34" s="19" t="str">
        <f aca="false">IF(OR(K34="",L34=""),"",K34+L34)</f>
        <v/>
      </c>
      <c r="O34" s="19" t="str">
        <f aca="false">IF(OR(G34="",M34=""),"",M34-G34-N34)</f>
        <v/>
      </c>
      <c r="P34" s="7" t="s">
        <v>736</v>
      </c>
    </row>
    <row r="35" customFormat="false" ht="15" hidden="false" customHeight="false" outlineLevel="0" collapsed="false">
      <c r="C35" s="0" t="n">
        <v>26</v>
      </c>
      <c r="D35" s="0" t="s">
        <v>735</v>
      </c>
      <c r="E35" s="0" t="s">
        <v>343</v>
      </c>
      <c r="F35" s="9" t="str">
        <f aca="false">IF('Inputs - SKU Register'!H113="","",'Inputs - SKU Register'!H113)</f>
        <v/>
      </c>
      <c r="G35" s="6" t="str">
        <f aca="false">IF(F35="","",F35*'WBS Budget'!K110)</f>
        <v/>
      </c>
      <c r="H35" s="7" t="s">
        <v>345</v>
      </c>
      <c r="I35" s="9" t="str">
        <f aca="false">IF('Inputs - SKU Register'!H114="","",'Inputs - SKU Register'!H114)</f>
        <v/>
      </c>
      <c r="J35" s="6" t="str">
        <f aca="false">IF(OR(I35="",'Revenue &amp; Operations'!E10=""),"",'Revenue &amp; Operations'!E10/12*I35)</f>
        <v/>
      </c>
      <c r="K35" s="6" t="str">
        <f aca="false">IF(OR(J35="",'Inputs - SKU Register'!H40="",'Inputs - SKU Register'!H41="",'Rent Roll'!E14=""),"",J35*(1-'Inputs - SKU Register'!H41)+('Rent Roll'!E14*I35*'Inputs - SKU Register'!H40))</f>
        <v/>
      </c>
      <c r="L35" s="6" t="str">
        <f aca="false">IF(COUNT('Revenue &amp; Operations'!E15:E28)=0,"",SUM('Revenue &amp; Operations'!E15:E28)/12)</f>
        <v/>
      </c>
      <c r="M35" s="19" t="str">
        <f aca="false">IF(OR(K35="",L35=""),"",K35+L35)</f>
        <v/>
      </c>
      <c r="O35" s="19" t="str">
        <f aca="false">IF(OR(G35="",M35=""),"",M35-G35-N35)</f>
        <v/>
      </c>
      <c r="P35" s="7" t="s">
        <v>736</v>
      </c>
    </row>
    <row r="36" customFormat="false" ht="15" hidden="false" customHeight="false" outlineLevel="0" collapsed="false">
      <c r="C36" s="0" t="n">
        <v>27</v>
      </c>
      <c r="D36" s="0" t="s">
        <v>735</v>
      </c>
      <c r="E36" s="0" t="s">
        <v>347</v>
      </c>
      <c r="F36" s="9" t="str">
        <f aca="false">IF('Inputs - SKU Register'!H115="","",'Inputs - SKU Register'!H115)</f>
        <v/>
      </c>
      <c r="G36" s="6" t="str">
        <f aca="false">IF(F36="","",F36*'WBS Budget'!K110)</f>
        <v/>
      </c>
      <c r="H36" s="7" t="s">
        <v>349</v>
      </c>
      <c r="I36" s="9" t="str">
        <f aca="false">IF('Inputs - SKU Register'!H116="","",'Inputs - SKU Register'!H116)</f>
        <v/>
      </c>
      <c r="J36" s="6" t="str">
        <f aca="false">IF(OR(I36="",'Revenue &amp; Operations'!E10=""),"",'Revenue &amp; Operations'!E10/12*I36)</f>
        <v/>
      </c>
      <c r="K36" s="6" t="str">
        <f aca="false">IF(OR(J36="",'Inputs - SKU Register'!H40="",'Inputs - SKU Register'!H41="",'Rent Roll'!E14=""),"",J36*(1-'Inputs - SKU Register'!H41)+('Rent Roll'!E14*I36*'Inputs - SKU Register'!H40))</f>
        <v/>
      </c>
      <c r="L36" s="6" t="str">
        <f aca="false">IF(COUNT('Revenue &amp; Operations'!E15:E28)=0,"",SUM('Revenue &amp; Operations'!E15:E28)/12)</f>
        <v/>
      </c>
      <c r="M36" s="19" t="str">
        <f aca="false">IF(OR(K36="",L36=""),"",K36+L36)</f>
        <v/>
      </c>
      <c r="O36" s="19" t="str">
        <f aca="false">IF(OR(G36="",M36=""),"",M36-G36-N36)</f>
        <v/>
      </c>
      <c r="P36" s="7" t="s">
        <v>736</v>
      </c>
    </row>
    <row r="37" customFormat="false" ht="15" hidden="false" customHeight="false" outlineLevel="0" collapsed="false">
      <c r="C37" s="0" t="n">
        <v>28</v>
      </c>
      <c r="D37" s="0" t="s">
        <v>735</v>
      </c>
      <c r="E37" s="0" t="s">
        <v>351</v>
      </c>
      <c r="F37" s="9" t="str">
        <f aca="false">IF('Inputs - SKU Register'!H117="","",'Inputs - SKU Register'!H117)</f>
        <v/>
      </c>
      <c r="G37" s="6" t="str">
        <f aca="false">IF(F37="","",F37*'WBS Budget'!K110)</f>
        <v/>
      </c>
      <c r="H37" s="7" t="s">
        <v>353</v>
      </c>
      <c r="I37" s="9" t="str">
        <f aca="false">IF('Inputs - SKU Register'!H118="","",'Inputs - SKU Register'!H118)</f>
        <v/>
      </c>
      <c r="J37" s="6" t="str">
        <f aca="false">IF(OR(I37="",'Revenue &amp; Operations'!E10=""),"",'Revenue &amp; Operations'!E10/12*I37)</f>
        <v/>
      </c>
      <c r="K37" s="6" t="str">
        <f aca="false">IF(OR(J37="",'Inputs - SKU Register'!H40="",'Inputs - SKU Register'!H41="",'Rent Roll'!E14=""),"",J37*(1-'Inputs - SKU Register'!H41)+('Rent Roll'!E14*I37*'Inputs - SKU Register'!H40))</f>
        <v/>
      </c>
      <c r="L37" s="6" t="str">
        <f aca="false">IF(COUNT('Revenue &amp; Operations'!E15:E28)=0,"",SUM('Revenue &amp; Operations'!E15:E28)/12)</f>
        <v/>
      </c>
      <c r="M37" s="19" t="str">
        <f aca="false">IF(OR(K37="",L37=""),"",K37+L37)</f>
        <v/>
      </c>
      <c r="O37" s="19" t="str">
        <f aca="false">IF(OR(G37="",M37=""),"",M37-G37-N37)</f>
        <v/>
      </c>
      <c r="P37" s="7" t="s">
        <v>736</v>
      </c>
    </row>
    <row r="38" customFormat="false" ht="15" hidden="false" customHeight="false" outlineLevel="0" collapsed="false">
      <c r="C38" s="0" t="n">
        <v>29</v>
      </c>
      <c r="D38" s="0" t="s">
        <v>735</v>
      </c>
      <c r="E38" s="0" t="s">
        <v>355</v>
      </c>
      <c r="F38" s="9" t="str">
        <f aca="false">IF('Inputs - SKU Register'!H119="","",'Inputs - SKU Register'!H119)</f>
        <v/>
      </c>
      <c r="G38" s="6" t="str">
        <f aca="false">IF(F38="","",F38*'WBS Budget'!K110)</f>
        <v/>
      </c>
      <c r="H38" s="7" t="s">
        <v>357</v>
      </c>
      <c r="I38" s="9" t="str">
        <f aca="false">IF('Inputs - SKU Register'!H120="","",'Inputs - SKU Register'!H120)</f>
        <v/>
      </c>
      <c r="J38" s="6" t="str">
        <f aca="false">IF(OR(I38="",'Revenue &amp; Operations'!E10=""),"",'Revenue &amp; Operations'!E10/12*I38)</f>
        <v/>
      </c>
      <c r="K38" s="6" t="str">
        <f aca="false">IF(OR(J38="",'Inputs - SKU Register'!H40="",'Inputs - SKU Register'!H41="",'Rent Roll'!E14=""),"",J38*(1-'Inputs - SKU Register'!H41)+('Rent Roll'!E14*I38*'Inputs - SKU Register'!H40))</f>
        <v/>
      </c>
      <c r="L38" s="6" t="str">
        <f aca="false">IF(COUNT('Revenue &amp; Operations'!E15:E28)=0,"",SUM('Revenue &amp; Operations'!E15:E28)/12)</f>
        <v/>
      </c>
      <c r="M38" s="19" t="str">
        <f aca="false">IF(OR(K38="",L38=""),"",K38+L38)</f>
        <v/>
      </c>
      <c r="O38" s="19" t="str">
        <f aca="false">IF(OR(G38="",M38=""),"",M38-G38-N38)</f>
        <v/>
      </c>
      <c r="P38" s="7" t="s">
        <v>736</v>
      </c>
    </row>
    <row r="39" customFormat="false" ht="15" hidden="false" customHeight="false" outlineLevel="0" collapsed="false">
      <c r="C39" s="0" t="n">
        <v>30</v>
      </c>
      <c r="D39" s="0" t="s">
        <v>735</v>
      </c>
      <c r="E39" s="0" t="s">
        <v>359</v>
      </c>
      <c r="F39" s="9" t="str">
        <f aca="false">IF('Inputs - SKU Register'!H121="","",'Inputs - SKU Register'!H121)</f>
        <v/>
      </c>
      <c r="G39" s="6" t="str">
        <f aca="false">IF(F39="","",F39*'WBS Budget'!K110)</f>
        <v/>
      </c>
      <c r="H39" s="7" t="s">
        <v>361</v>
      </c>
      <c r="I39" s="9" t="str">
        <f aca="false">IF('Inputs - SKU Register'!H122="","",'Inputs - SKU Register'!H122)</f>
        <v/>
      </c>
      <c r="J39" s="6" t="str">
        <f aca="false">IF(OR(I39="",'Revenue &amp; Operations'!E10=""),"",'Revenue &amp; Operations'!E10/12*I39)</f>
        <v/>
      </c>
      <c r="K39" s="6" t="str">
        <f aca="false">IF(OR(J39="",'Inputs - SKU Register'!H40="",'Inputs - SKU Register'!H41="",'Rent Roll'!E14=""),"",J39*(1-'Inputs - SKU Register'!H41)+('Rent Roll'!E14*I39*'Inputs - SKU Register'!H40))</f>
        <v/>
      </c>
      <c r="L39" s="6" t="str">
        <f aca="false">IF(COUNT('Revenue &amp; Operations'!E15:E28)=0,"",SUM('Revenue &amp; Operations'!E15:E28)/12)</f>
        <v/>
      </c>
      <c r="M39" s="19" t="str">
        <f aca="false">IF(OR(K39="",L39=""),"",K39+L39)</f>
        <v/>
      </c>
      <c r="O39" s="19" t="str">
        <f aca="false">IF(OR(G39="",M39=""),"",M39-G39-N39)</f>
        <v/>
      </c>
      <c r="P39" s="7" t="s">
        <v>736</v>
      </c>
    </row>
    <row r="40" customFormat="false" ht="15" hidden="false" customHeight="false" outlineLevel="0" collapsed="false">
      <c r="C40" s="0" t="n">
        <v>31</v>
      </c>
      <c r="D40" s="0" t="s">
        <v>735</v>
      </c>
      <c r="E40" s="0" t="s">
        <v>363</v>
      </c>
      <c r="F40" s="9" t="str">
        <f aca="false">IF('Inputs - SKU Register'!H123="","",'Inputs - SKU Register'!H123)</f>
        <v/>
      </c>
      <c r="G40" s="6" t="str">
        <f aca="false">IF(F40="","",F40*'WBS Budget'!K110)</f>
        <v/>
      </c>
      <c r="H40" s="7" t="s">
        <v>365</v>
      </c>
      <c r="I40" s="9" t="str">
        <f aca="false">IF('Inputs - SKU Register'!H124="","",'Inputs - SKU Register'!H124)</f>
        <v/>
      </c>
      <c r="J40" s="6" t="str">
        <f aca="false">IF(OR(I40="",'Revenue &amp; Operations'!E10=""),"",'Revenue &amp; Operations'!E10/12*I40)</f>
        <v/>
      </c>
      <c r="K40" s="6" t="str">
        <f aca="false">IF(OR(J40="",'Inputs - SKU Register'!H40="",'Inputs - SKU Register'!H41="",'Rent Roll'!E14=""),"",J40*(1-'Inputs - SKU Register'!H41)+('Rent Roll'!E14*I40*'Inputs - SKU Register'!H40))</f>
        <v/>
      </c>
      <c r="L40" s="6" t="str">
        <f aca="false">IF(COUNT('Revenue &amp; Operations'!E15:E28)=0,"",SUM('Revenue &amp; Operations'!E15:E28)/12)</f>
        <v/>
      </c>
      <c r="M40" s="19" t="str">
        <f aca="false">IF(OR(K40="",L40=""),"",K40+L40)</f>
        <v/>
      </c>
      <c r="O40" s="19" t="str">
        <f aca="false">IF(OR(G40="",M40=""),"",M40-G40-N40)</f>
        <v/>
      </c>
      <c r="P40" s="7" t="s">
        <v>736</v>
      </c>
    </row>
    <row r="41" customFormat="false" ht="15" hidden="false" customHeight="false" outlineLevel="0" collapsed="false">
      <c r="C41" s="0" t="n">
        <v>32</v>
      </c>
      <c r="D41" s="0" t="s">
        <v>735</v>
      </c>
      <c r="E41" s="0" t="s">
        <v>367</v>
      </c>
      <c r="F41" s="9" t="str">
        <f aca="false">IF('Inputs - SKU Register'!H125="","",'Inputs - SKU Register'!H125)</f>
        <v/>
      </c>
      <c r="G41" s="6" t="str">
        <f aca="false">IF(F41="","",F41*'WBS Budget'!K110)</f>
        <v/>
      </c>
      <c r="H41" s="7" t="s">
        <v>369</v>
      </c>
      <c r="I41" s="9" t="str">
        <f aca="false">IF('Inputs - SKU Register'!H126="","",'Inputs - SKU Register'!H126)</f>
        <v/>
      </c>
      <c r="J41" s="6" t="str">
        <f aca="false">IF(OR(I41="",'Revenue &amp; Operations'!E10=""),"",'Revenue &amp; Operations'!E10/12*I41)</f>
        <v/>
      </c>
      <c r="K41" s="6" t="str">
        <f aca="false">IF(OR(J41="",'Inputs - SKU Register'!H40="",'Inputs - SKU Register'!H41="",'Rent Roll'!E14=""),"",J41*(1-'Inputs - SKU Register'!H41)+('Rent Roll'!E14*I41*'Inputs - SKU Register'!H40))</f>
        <v/>
      </c>
      <c r="L41" s="6" t="str">
        <f aca="false">IF(COUNT('Revenue &amp; Operations'!E15:E28)=0,"",SUM('Revenue &amp; Operations'!E15:E28)/12)</f>
        <v/>
      </c>
      <c r="M41" s="19" t="str">
        <f aca="false">IF(OR(K41="",L41=""),"",K41+L41)</f>
        <v/>
      </c>
      <c r="O41" s="19" t="str">
        <f aca="false">IF(OR(G41="",M41=""),"",M41-G41-N41)</f>
        <v/>
      </c>
      <c r="P41" s="7" t="s">
        <v>736</v>
      </c>
    </row>
    <row r="42" customFormat="false" ht="15" hidden="false" customHeight="false" outlineLevel="0" collapsed="false">
      <c r="C42" s="0" t="n">
        <v>33</v>
      </c>
      <c r="D42" s="0" t="s">
        <v>735</v>
      </c>
      <c r="E42" s="0" t="s">
        <v>371</v>
      </c>
      <c r="F42" s="9" t="str">
        <f aca="false">IF('Inputs - SKU Register'!H127="","",'Inputs - SKU Register'!H127)</f>
        <v/>
      </c>
      <c r="G42" s="6" t="str">
        <f aca="false">IF(F42="","",F42*'WBS Budget'!K110)</f>
        <v/>
      </c>
      <c r="H42" s="7" t="s">
        <v>373</v>
      </c>
      <c r="I42" s="9" t="str">
        <f aca="false">IF('Inputs - SKU Register'!H128="","",'Inputs - SKU Register'!H128)</f>
        <v/>
      </c>
      <c r="J42" s="6" t="str">
        <f aca="false">IF(OR(I42="",'Revenue &amp; Operations'!E10=""),"",'Revenue &amp; Operations'!E10/12*I42)</f>
        <v/>
      </c>
      <c r="K42" s="6" t="str">
        <f aca="false">IF(OR(J42="",'Inputs - SKU Register'!H40="",'Inputs - SKU Register'!H41="",'Rent Roll'!E14=""),"",J42*(1-'Inputs - SKU Register'!H41)+('Rent Roll'!E14*I42*'Inputs - SKU Register'!H40))</f>
        <v/>
      </c>
      <c r="L42" s="6" t="str">
        <f aca="false">IF(COUNT('Revenue &amp; Operations'!E15:E28)=0,"",SUM('Revenue &amp; Operations'!E15:E28)/12)</f>
        <v/>
      </c>
      <c r="M42" s="19" t="str">
        <f aca="false">IF(OR(K42="",L42=""),"",K42+L42)</f>
        <v/>
      </c>
      <c r="O42" s="19" t="str">
        <f aca="false">IF(OR(G42="",M42=""),"",M42-G42-N42)</f>
        <v/>
      </c>
      <c r="P42" s="7" t="s">
        <v>736</v>
      </c>
    </row>
    <row r="43" customFormat="false" ht="15" hidden="false" customHeight="false" outlineLevel="0" collapsed="false">
      <c r="C43" s="0" t="n">
        <v>34</v>
      </c>
      <c r="D43" s="0" t="s">
        <v>735</v>
      </c>
      <c r="E43" s="0" t="s">
        <v>375</v>
      </c>
      <c r="F43" s="9" t="str">
        <f aca="false">IF('Inputs - SKU Register'!H129="","",'Inputs - SKU Register'!H129)</f>
        <v/>
      </c>
      <c r="G43" s="6" t="str">
        <f aca="false">IF(F43="","",F43*'WBS Budget'!K110)</f>
        <v/>
      </c>
      <c r="H43" s="7" t="s">
        <v>377</v>
      </c>
      <c r="I43" s="9" t="str">
        <f aca="false">IF('Inputs - SKU Register'!H130="","",'Inputs - SKU Register'!H130)</f>
        <v/>
      </c>
      <c r="J43" s="6" t="str">
        <f aca="false">IF(OR(I43="",'Revenue &amp; Operations'!E10=""),"",'Revenue &amp; Operations'!E10/12*I43)</f>
        <v/>
      </c>
      <c r="K43" s="6" t="str">
        <f aca="false">IF(OR(J43="",'Inputs - SKU Register'!H40="",'Inputs - SKU Register'!H41="",'Rent Roll'!E14=""),"",J43*(1-'Inputs - SKU Register'!H41)+('Rent Roll'!E14*I43*'Inputs - SKU Register'!H40))</f>
        <v/>
      </c>
      <c r="L43" s="6" t="str">
        <f aca="false">IF(COUNT('Revenue &amp; Operations'!E15:E28)=0,"",SUM('Revenue &amp; Operations'!E15:E28)/12)</f>
        <v/>
      </c>
      <c r="M43" s="19" t="str">
        <f aca="false">IF(OR(K43="",L43=""),"",K43+L43)</f>
        <v/>
      </c>
      <c r="O43" s="19" t="str">
        <f aca="false">IF(OR(G43="",M43=""),"",M43-G43-N43)</f>
        <v/>
      </c>
      <c r="P43" s="7" t="s">
        <v>736</v>
      </c>
    </row>
    <row r="44" customFormat="false" ht="15" hidden="false" customHeight="false" outlineLevel="0" collapsed="false">
      <c r="C44" s="0" t="n">
        <v>35</v>
      </c>
      <c r="D44" s="0" t="s">
        <v>735</v>
      </c>
      <c r="E44" s="0" t="s">
        <v>379</v>
      </c>
      <c r="F44" s="9" t="str">
        <f aca="false">IF('Inputs - SKU Register'!H131="","",'Inputs - SKU Register'!H131)</f>
        <v/>
      </c>
      <c r="G44" s="6" t="str">
        <f aca="false">IF(F44="","",F44*'WBS Budget'!K110)</f>
        <v/>
      </c>
      <c r="H44" s="7" t="s">
        <v>381</v>
      </c>
      <c r="I44" s="9" t="str">
        <f aca="false">IF('Inputs - SKU Register'!H132="","",'Inputs - SKU Register'!H132)</f>
        <v/>
      </c>
      <c r="J44" s="6" t="str">
        <f aca="false">IF(OR(I44="",'Revenue &amp; Operations'!E10=""),"",'Revenue &amp; Operations'!E10/12*I44)</f>
        <v/>
      </c>
      <c r="K44" s="6" t="str">
        <f aca="false">IF(OR(J44="",'Inputs - SKU Register'!H40="",'Inputs - SKU Register'!H41="",'Rent Roll'!E14=""),"",J44*(1-'Inputs - SKU Register'!H41)+('Rent Roll'!E14*I44*'Inputs - SKU Register'!H40))</f>
        <v/>
      </c>
      <c r="L44" s="6" t="str">
        <f aca="false">IF(COUNT('Revenue &amp; Operations'!E15:E28)=0,"",SUM('Revenue &amp; Operations'!E15:E28)/12)</f>
        <v/>
      </c>
      <c r="M44" s="19" t="str">
        <f aca="false">IF(OR(K44="",L44=""),"",K44+L44)</f>
        <v/>
      </c>
      <c r="O44" s="19" t="str">
        <f aca="false">IF(OR(G44="",M44=""),"",M44-G44-N44)</f>
        <v/>
      </c>
      <c r="P44" s="7" t="s">
        <v>736</v>
      </c>
    </row>
    <row r="45" customFormat="false" ht="15" hidden="false" customHeight="false" outlineLevel="0" collapsed="false">
      <c r="C45" s="0" t="n">
        <v>36</v>
      </c>
      <c r="D45" s="0" t="s">
        <v>735</v>
      </c>
      <c r="E45" s="0" t="s">
        <v>383</v>
      </c>
      <c r="F45" s="9" t="str">
        <f aca="false">IF('Inputs - SKU Register'!H133="","",'Inputs - SKU Register'!H133)</f>
        <v/>
      </c>
      <c r="G45" s="6" t="str">
        <f aca="false">IF(F45="","",F45*'WBS Budget'!K110)</f>
        <v/>
      </c>
      <c r="H45" s="7" t="s">
        <v>385</v>
      </c>
      <c r="I45" s="9" t="str">
        <f aca="false">IF('Inputs - SKU Register'!H134="","",'Inputs - SKU Register'!H134)</f>
        <v/>
      </c>
      <c r="J45" s="6" t="str">
        <f aca="false">IF(OR(I45="",'Revenue &amp; Operations'!E10=""),"",'Revenue &amp; Operations'!E10/12*I45)</f>
        <v/>
      </c>
      <c r="K45" s="6" t="str">
        <f aca="false">IF(OR(J45="",'Inputs - SKU Register'!H40="",'Inputs - SKU Register'!H41="",'Rent Roll'!E14=""),"",J45*(1-'Inputs - SKU Register'!H41)+('Rent Roll'!E14*I45*'Inputs - SKU Register'!H40))</f>
        <v/>
      </c>
      <c r="L45" s="6" t="str">
        <f aca="false">IF(COUNT('Revenue &amp; Operations'!E15:E28)=0,"",SUM('Revenue &amp; Operations'!E15:E28)/12)</f>
        <v/>
      </c>
      <c r="M45" s="19" t="str">
        <f aca="false">IF(OR(K45="",L45=""),"",K45+L45)</f>
        <v/>
      </c>
      <c r="O45" s="19" t="str">
        <f aca="false">IF(OR(G45="",M45=""),"",M45-G45-N45)</f>
        <v/>
      </c>
      <c r="P45" s="7" t="s">
        <v>736</v>
      </c>
    </row>
    <row r="46" customFormat="false" ht="15" hidden="false" customHeight="false" outlineLevel="0" collapsed="false">
      <c r="C46" s="2" t="s">
        <v>737</v>
      </c>
      <c r="D46" s="2" t="s">
        <v>738</v>
      </c>
      <c r="G46" s="19" t="str">
        <f aca="false">IF(COUNT(G10:G45)=0,"",SUM(G10:G45))</f>
        <v/>
      </c>
      <c r="O46" s="19" t="str">
        <f aca="false">IF(COUNT(O10:O45)=0,"",SUM(O10:O45))</f>
        <v/>
      </c>
    </row>
    <row r="47" customFormat="false" ht="15" hidden="false" customHeight="false" outlineLevel="0" collapsed="false">
      <c r="D47" s="2" t="s">
        <v>739</v>
      </c>
      <c r="F47" s="16" t="str">
        <f aca="false">IF(COUNT(F10:F45)=0,"",SUM(F10:F45))</f>
        <v/>
      </c>
      <c r="P47" s="7" t="s">
        <v>740</v>
      </c>
    </row>
  </sheetData>
  <mergeCells count="2">
    <mergeCell ref="C3:N3"/>
    <mergeCell ref="C8:N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36-Month Construction, Lease-Up Cash Flow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40"/>
    <col collapsed="false" customWidth="true" hidden="false" outlineLevel="0" max="5" min="5" style="0" width="10"/>
    <col collapsed="false" customWidth="true" hidden="false" outlineLevel="0" max="6" min="6" style="0" width="29"/>
    <col collapsed="false" customWidth="true" hidden="false" outlineLevel="0" max="7" min="7" style="0" width="31"/>
    <col collapsed="false" customWidth="true" hidden="false" outlineLevel="0" max="8" min="8" style="0" width="40"/>
    <col collapsed="false" customWidth="true" hidden="false" outlineLevel="0" max="14" min="9" style="0" width="10"/>
  </cols>
  <sheetData>
    <row r="3" customFormat="false" ht="19.7" hidden="false" customHeight="false" outlineLevel="0" collapsed="false">
      <c r="C3" s="1" t="s">
        <v>741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742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743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6.4" hidden="false" customHeight="false" outlineLevel="0" collapsed="false">
      <c r="C9" s="5" t="s">
        <v>79</v>
      </c>
      <c r="D9" s="5" t="s">
        <v>744</v>
      </c>
      <c r="E9" s="5" t="s">
        <v>745</v>
      </c>
      <c r="F9" s="5" t="s">
        <v>6</v>
      </c>
      <c r="G9" s="5" t="s">
        <v>692</v>
      </c>
      <c r="H9" s="5" t="s">
        <v>92</v>
      </c>
    </row>
    <row r="10" customFormat="false" ht="15" hidden="false" customHeight="false" outlineLevel="0" collapsed="false">
      <c r="C10" s="0" t="s">
        <v>746</v>
      </c>
      <c r="D10" s="0" t="s">
        <v>747</v>
      </c>
      <c r="E10" s="6" t="n">
        <f aca="false">'WBS Budget'!K110</f>
        <v>40000000</v>
      </c>
      <c r="F10" s="7" t="s">
        <v>748</v>
      </c>
      <c r="G10" s="7" t="s">
        <v>749</v>
      </c>
    </row>
    <row r="12" customFormat="false" ht="15" hidden="false" customHeight="false" outlineLevel="0" collapsed="false">
      <c r="C12" s="4" t="s">
        <v>750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6.4" hidden="false" customHeight="false" outlineLevel="0" collapsed="false">
      <c r="C13" s="5" t="s">
        <v>79</v>
      </c>
      <c r="D13" s="5" t="s">
        <v>751</v>
      </c>
      <c r="E13" s="5" t="s">
        <v>745</v>
      </c>
      <c r="F13" s="5" t="s">
        <v>6</v>
      </c>
      <c r="G13" s="5" t="s">
        <v>692</v>
      </c>
      <c r="H13" s="5" t="s">
        <v>92</v>
      </c>
    </row>
    <row r="14" customFormat="false" ht="15" hidden="false" customHeight="false" outlineLevel="0" collapsed="false">
      <c r="C14" s="0" t="s">
        <v>388</v>
      </c>
      <c r="D14" s="0" t="s">
        <v>752</v>
      </c>
      <c r="E14" s="6" t="n">
        <f aca="false">IF('Inputs - SKU Register'!H138="","",'Inputs - SKU Register'!H138)</f>
        <v>55000000</v>
      </c>
      <c r="F14" s="7" t="s">
        <v>753</v>
      </c>
      <c r="G14" s="7" t="s">
        <v>703</v>
      </c>
    </row>
    <row r="15" customFormat="false" ht="15" hidden="false" customHeight="false" outlineLevel="0" collapsed="false">
      <c r="C15" s="0" t="s">
        <v>410</v>
      </c>
      <c r="D15" s="0" t="s">
        <v>754</v>
      </c>
      <c r="E15" s="6" t="str">
        <f aca="false">IF('Inputs - SKU Register'!H146="","",'Inputs - SKU Register'!H146)</f>
        <v/>
      </c>
      <c r="F15" s="7" t="s">
        <v>755</v>
      </c>
      <c r="G15" s="7" t="s">
        <v>703</v>
      </c>
    </row>
    <row r="16" customFormat="false" ht="15" hidden="false" customHeight="false" outlineLevel="0" collapsed="false">
      <c r="C16" s="0" t="s">
        <v>412</v>
      </c>
      <c r="D16" s="0" t="s">
        <v>413</v>
      </c>
      <c r="E16" s="6" t="str">
        <f aca="false">IF('Inputs - SKU Register'!H147="","",'Inputs - SKU Register'!H147)</f>
        <v/>
      </c>
      <c r="F16" s="7" t="s">
        <v>756</v>
      </c>
      <c r="G16" s="7" t="s">
        <v>703</v>
      </c>
    </row>
    <row r="17" customFormat="false" ht="15" hidden="false" customHeight="false" outlineLevel="0" collapsed="false">
      <c r="D17" s="2" t="s">
        <v>757</v>
      </c>
      <c r="E17" s="19" t="n">
        <f aca="false">IF(COUNT(E14:E16)=0,"",SUM(E14:E16))</f>
        <v>55000000</v>
      </c>
    </row>
    <row r="18" customFormat="false" ht="15" hidden="false" customHeight="false" outlineLevel="0" collapsed="false">
      <c r="D18" s="2" t="s">
        <v>758</v>
      </c>
      <c r="E18" s="19" t="n">
        <f aca="false">IF(E17="","",E17-E10)</f>
        <v>15000000</v>
      </c>
      <c r="G18" s="7" t="s">
        <v>15</v>
      </c>
    </row>
    <row r="20" customFormat="false" ht="15" hidden="false" customHeight="false" outlineLevel="0" collapsed="false">
      <c r="C20" s="0" t="s">
        <v>141</v>
      </c>
      <c r="D20" s="0" t="s">
        <v>759</v>
      </c>
      <c r="E20" s="6" t="n">
        <f aca="false">'Inputs - SKU Register'!G20</f>
        <v>55000000</v>
      </c>
      <c r="G20" s="7" t="s">
        <v>143</v>
      </c>
      <c r="H20" s="7" t="s">
        <v>760</v>
      </c>
    </row>
  </sheetData>
  <mergeCells count="3">
    <mergeCell ref="C3:N3"/>
    <mergeCell ref="C8:N8"/>
    <mergeCell ref="C12:N1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Sources Uses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23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40"/>
    <col collapsed="false" customWidth="true" hidden="false" outlineLevel="0" max="14" min="11" style="0" width="10"/>
  </cols>
  <sheetData>
    <row r="3" customFormat="false" ht="19.7" hidden="false" customHeight="false" outlineLevel="0" collapsed="false">
      <c r="C3" s="1" t="s">
        <v>761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762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763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6.4" hidden="false" customHeight="false" outlineLevel="0" collapsed="false">
      <c r="C9" s="5" t="s">
        <v>79</v>
      </c>
      <c r="D9" s="5" t="s">
        <v>764</v>
      </c>
      <c r="E9" s="5" t="s">
        <v>5</v>
      </c>
      <c r="F9" s="5" t="s">
        <v>751</v>
      </c>
      <c r="G9" s="5" t="s">
        <v>692</v>
      </c>
      <c r="H9" s="5" t="s">
        <v>92</v>
      </c>
    </row>
    <row r="10" customFormat="false" ht="15" hidden="false" customHeight="false" outlineLevel="0" collapsed="false">
      <c r="C10" s="0" t="s">
        <v>388</v>
      </c>
      <c r="D10" s="0" t="s">
        <v>765</v>
      </c>
      <c r="E10" s="6" t="n">
        <f aca="false">IF('Inputs - SKU Register'!H138="","",'Inputs - SKU Register'!H138)</f>
        <v>55000000</v>
      </c>
      <c r="F10" s="7" t="s">
        <v>766</v>
      </c>
      <c r="G10" s="7" t="s">
        <v>703</v>
      </c>
    </row>
    <row r="11" customFormat="false" ht="15" hidden="false" customHeight="false" outlineLevel="0" collapsed="false">
      <c r="C11" s="0" t="s">
        <v>393</v>
      </c>
      <c r="D11" s="0" t="s">
        <v>394</v>
      </c>
      <c r="E11" s="9" t="str">
        <f aca="false">IF('Inputs - SKU Register'!H139="","",'Inputs - SKU Register'!H139)</f>
        <v/>
      </c>
      <c r="F11" s="7" t="s">
        <v>767</v>
      </c>
      <c r="G11" s="7" t="s">
        <v>703</v>
      </c>
    </row>
    <row r="12" customFormat="false" ht="15" hidden="false" customHeight="false" outlineLevel="0" collapsed="false">
      <c r="C12" s="0" t="s">
        <v>396</v>
      </c>
      <c r="D12" s="0" t="s">
        <v>397</v>
      </c>
      <c r="E12" s="9" t="str">
        <f aca="false">IF('Inputs - SKU Register'!H140="","",'Inputs - SKU Register'!H140)</f>
        <v/>
      </c>
      <c r="F12" s="7" t="s">
        <v>768</v>
      </c>
      <c r="G12" s="7" t="s">
        <v>703</v>
      </c>
    </row>
    <row r="13" customFormat="false" ht="15" hidden="false" customHeight="false" outlineLevel="0" collapsed="false">
      <c r="C13" s="0" t="s">
        <v>399</v>
      </c>
      <c r="D13" s="0" t="s">
        <v>764</v>
      </c>
      <c r="E13" s="8" t="str">
        <f aca="false">IF('Inputs - SKU Register'!H141="","",'Inputs - SKU Register'!H141)</f>
        <v/>
      </c>
      <c r="F13" s="7" t="s">
        <v>769</v>
      </c>
      <c r="G13" s="7" t="s">
        <v>703</v>
      </c>
    </row>
    <row r="14" customFormat="false" ht="15" hidden="false" customHeight="false" outlineLevel="0" collapsed="false">
      <c r="C14" s="0" t="s">
        <v>401</v>
      </c>
      <c r="D14" s="0" t="s">
        <v>770</v>
      </c>
      <c r="E14" s="8" t="str">
        <f aca="false">IF('Inputs - SKU Register'!H142="","",'Inputs - SKU Register'!H142)</f>
        <v/>
      </c>
      <c r="F14" s="7" t="s">
        <v>771</v>
      </c>
      <c r="G14" s="7" t="s">
        <v>703</v>
      </c>
    </row>
    <row r="15" customFormat="false" ht="15" hidden="false" customHeight="false" outlineLevel="0" collapsed="false">
      <c r="C15" s="0" t="s">
        <v>403</v>
      </c>
      <c r="D15" s="0" t="s">
        <v>404</v>
      </c>
      <c r="E15" s="8" t="str">
        <f aca="false">IF('Inputs - SKU Register'!H143="","",'Inputs - SKU Register'!H143)</f>
        <v/>
      </c>
      <c r="F15" s="7" t="s">
        <v>772</v>
      </c>
      <c r="G15" s="7" t="s">
        <v>703</v>
      </c>
    </row>
    <row r="16" customFormat="false" ht="15" hidden="false" customHeight="false" outlineLevel="0" collapsed="false">
      <c r="C16" s="0" t="s">
        <v>405</v>
      </c>
      <c r="D16" s="0" t="s">
        <v>406</v>
      </c>
      <c r="E16" s="8" t="str">
        <f aca="false">IF('Inputs - SKU Register'!H144="","",'Inputs - SKU Register'!H144)</f>
        <v/>
      </c>
      <c r="F16" s="7" t="s">
        <v>773</v>
      </c>
      <c r="G16" s="7" t="s">
        <v>703</v>
      </c>
    </row>
    <row r="17" customFormat="false" ht="15" hidden="false" customHeight="false" outlineLevel="0" collapsed="false">
      <c r="C17" s="0" t="s">
        <v>408</v>
      </c>
      <c r="D17" s="0" t="s">
        <v>774</v>
      </c>
      <c r="E17" s="9" t="str">
        <f aca="false">IF('Inputs - SKU Register'!H145="","",'Inputs - SKU Register'!H145)</f>
        <v/>
      </c>
      <c r="F17" s="7" t="s">
        <v>775</v>
      </c>
      <c r="G17" s="7" t="s">
        <v>703</v>
      </c>
    </row>
    <row r="19" customFormat="false" ht="15" hidden="false" customHeight="false" outlineLevel="0" collapsed="false">
      <c r="C19" s="4" t="s">
        <v>776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6.4" hidden="false" customHeight="false" outlineLevel="0" collapsed="false">
      <c r="C20" s="5" t="s">
        <v>725</v>
      </c>
      <c r="D20" s="5" t="s">
        <v>777</v>
      </c>
      <c r="E20" s="5" t="s">
        <v>778</v>
      </c>
      <c r="F20" s="5" t="s">
        <v>779</v>
      </c>
      <c r="G20" s="5" t="s">
        <v>780</v>
      </c>
      <c r="H20" s="5" t="s">
        <v>733</v>
      </c>
      <c r="I20" s="5" t="s">
        <v>781</v>
      </c>
      <c r="J20" s="5" t="s">
        <v>92</v>
      </c>
    </row>
    <row r="21" customFormat="false" ht="15" hidden="false" customHeight="false" outlineLevel="0" collapsed="false">
      <c r="C21" s="0" t="n">
        <v>1</v>
      </c>
      <c r="D21" s="19" t="n">
        <f aca="false">IF(E10="","",0)</f>
        <v>0</v>
      </c>
      <c r="E21" s="19" t="str">
        <f aca="false">IF(OR($E$10="",$E$16=""),"",IF(C21=$E$16,$E$10,0))</f>
        <v/>
      </c>
      <c r="F21" s="19" t="str">
        <f aca="false">IF(OR(D21="",E21="",$E$11=""),"",(D21+E21)*$E$11/12)</f>
        <v/>
      </c>
      <c r="G21" s="19" t="str">
        <f aca="false">IF(OR(D21="",$E$14=""),"",IF(C21&lt;=$E$14,0,IF($E$13="",0,$E$10/$E$13)))</f>
        <v/>
      </c>
      <c r="H21" s="19" t="str">
        <f aca="false">IF(OR(F21="",G21=""),"",F21+G21)</f>
        <v/>
      </c>
      <c r="I21" s="19" t="str">
        <f aca="false">IF(OR(D21="",E21=""),"",D21+E21-G21)</f>
        <v/>
      </c>
      <c r="J21" s="7" t="s">
        <v>782</v>
      </c>
    </row>
    <row r="22" customFormat="false" ht="15" hidden="false" customHeight="false" outlineLevel="0" collapsed="false">
      <c r="C22" s="0" t="n">
        <v>2</v>
      </c>
      <c r="D22" s="19" t="str">
        <f aca="false">IF(I21="","",I21)</f>
        <v/>
      </c>
      <c r="E22" s="19" t="str">
        <f aca="false">IF(OR($E$10="",$E$16=""),"",IF(C22=$E$16,$E$10,0))</f>
        <v/>
      </c>
      <c r="F22" s="19" t="str">
        <f aca="false">IF(OR(D22="",E22="",$E$11=""),"",(D22+E22)*$E$11/12)</f>
        <v/>
      </c>
      <c r="G22" s="19" t="str">
        <f aca="false">IF(OR(D22="",$E$14=""),"",IF(C22&lt;=$E$14,0,IF($E$13="",0,$E$10/$E$13)))</f>
        <v/>
      </c>
      <c r="H22" s="19" t="str">
        <f aca="false">IF(OR(F22="",G22=""),"",F22+G22)</f>
        <v/>
      </c>
      <c r="I22" s="19" t="str">
        <f aca="false">IF(OR(D22="",E22=""),"",D22+E22-G22)</f>
        <v/>
      </c>
      <c r="J22" s="7" t="s">
        <v>782</v>
      </c>
    </row>
    <row r="23" customFormat="false" ht="15" hidden="false" customHeight="false" outlineLevel="0" collapsed="false">
      <c r="C23" s="0" t="n">
        <v>3</v>
      </c>
      <c r="D23" s="19" t="str">
        <f aca="false">IF(I22="","",I22)</f>
        <v/>
      </c>
      <c r="E23" s="19" t="str">
        <f aca="false">IF(OR($E$10="",$E$16=""),"",IF(C23=$E$16,$E$10,0))</f>
        <v/>
      </c>
      <c r="F23" s="19" t="str">
        <f aca="false">IF(OR(D23="",E23="",$E$11=""),"",(D23+E23)*$E$11/12)</f>
        <v/>
      </c>
      <c r="G23" s="19" t="str">
        <f aca="false">IF(OR(D23="",$E$14=""),"",IF(C23&lt;=$E$14,0,IF($E$13="",0,$E$10/$E$13)))</f>
        <v/>
      </c>
      <c r="H23" s="19" t="str">
        <f aca="false">IF(OR(F23="",G23=""),"",F23+G23)</f>
        <v/>
      </c>
      <c r="I23" s="19" t="str">
        <f aca="false">IF(OR(D23="",E23=""),"",D23+E23-G23)</f>
        <v/>
      </c>
      <c r="J23" s="7" t="s">
        <v>782</v>
      </c>
    </row>
    <row r="24" customFormat="false" ht="15" hidden="false" customHeight="false" outlineLevel="0" collapsed="false">
      <c r="C24" s="0" t="n">
        <v>4</v>
      </c>
      <c r="D24" s="19" t="str">
        <f aca="false">IF(I23="","",I23)</f>
        <v/>
      </c>
      <c r="E24" s="19" t="str">
        <f aca="false">IF(OR($E$10="",$E$16=""),"",IF(C24=$E$16,$E$10,0))</f>
        <v/>
      </c>
      <c r="F24" s="19" t="str">
        <f aca="false">IF(OR(D24="",E24="",$E$11=""),"",(D24+E24)*$E$11/12)</f>
        <v/>
      </c>
      <c r="G24" s="19" t="str">
        <f aca="false">IF(OR(D24="",$E$14=""),"",IF(C24&lt;=$E$14,0,IF($E$13="",0,$E$10/$E$13)))</f>
        <v/>
      </c>
      <c r="H24" s="19" t="str">
        <f aca="false">IF(OR(F24="",G24=""),"",F24+G24)</f>
        <v/>
      </c>
      <c r="I24" s="19" t="str">
        <f aca="false">IF(OR(D24="",E24=""),"",D24+E24-G24)</f>
        <v/>
      </c>
      <c r="J24" s="7" t="s">
        <v>782</v>
      </c>
    </row>
    <row r="25" customFormat="false" ht="15" hidden="false" customHeight="false" outlineLevel="0" collapsed="false">
      <c r="C25" s="0" t="n">
        <v>5</v>
      </c>
      <c r="D25" s="19" t="str">
        <f aca="false">IF(I24="","",I24)</f>
        <v/>
      </c>
      <c r="E25" s="19" t="str">
        <f aca="false">IF(OR($E$10="",$E$16=""),"",IF(C25=$E$16,$E$10,0))</f>
        <v/>
      </c>
      <c r="F25" s="19" t="str">
        <f aca="false">IF(OR(D25="",E25="",$E$11=""),"",(D25+E25)*$E$11/12)</f>
        <v/>
      </c>
      <c r="G25" s="19" t="str">
        <f aca="false">IF(OR(D25="",$E$14=""),"",IF(C25&lt;=$E$14,0,IF($E$13="",0,$E$10/$E$13)))</f>
        <v/>
      </c>
      <c r="H25" s="19" t="str">
        <f aca="false">IF(OR(F25="",G25=""),"",F25+G25)</f>
        <v/>
      </c>
      <c r="I25" s="19" t="str">
        <f aca="false">IF(OR(D25="",E25=""),"",D25+E25-G25)</f>
        <v/>
      </c>
      <c r="J25" s="7" t="s">
        <v>782</v>
      </c>
    </row>
    <row r="26" customFormat="false" ht="15" hidden="false" customHeight="false" outlineLevel="0" collapsed="false">
      <c r="C26" s="0" t="n">
        <v>6</v>
      </c>
      <c r="D26" s="19" t="str">
        <f aca="false">IF(I25="","",I25)</f>
        <v/>
      </c>
      <c r="E26" s="19" t="str">
        <f aca="false">IF(OR($E$10="",$E$16=""),"",IF(C26=$E$16,$E$10,0))</f>
        <v/>
      </c>
      <c r="F26" s="19" t="str">
        <f aca="false">IF(OR(D26="",E26="",$E$11=""),"",(D26+E26)*$E$11/12)</f>
        <v/>
      </c>
      <c r="G26" s="19" t="str">
        <f aca="false">IF(OR(D26="",$E$14=""),"",IF(C26&lt;=$E$14,0,IF($E$13="",0,$E$10/$E$13)))</f>
        <v/>
      </c>
      <c r="H26" s="19" t="str">
        <f aca="false">IF(OR(F26="",G26=""),"",F26+G26)</f>
        <v/>
      </c>
      <c r="I26" s="19" t="str">
        <f aca="false">IF(OR(D26="",E26=""),"",D26+E26-G26)</f>
        <v/>
      </c>
      <c r="J26" s="7" t="s">
        <v>782</v>
      </c>
    </row>
    <row r="27" customFormat="false" ht="15" hidden="false" customHeight="false" outlineLevel="0" collapsed="false">
      <c r="C27" s="0" t="n">
        <v>7</v>
      </c>
      <c r="D27" s="19" t="str">
        <f aca="false">IF(I26="","",I26)</f>
        <v/>
      </c>
      <c r="E27" s="19" t="str">
        <f aca="false">IF(OR($E$10="",$E$16=""),"",IF(C27=$E$16,$E$10,0))</f>
        <v/>
      </c>
      <c r="F27" s="19" t="str">
        <f aca="false">IF(OR(D27="",E27="",$E$11=""),"",(D27+E27)*$E$11/12)</f>
        <v/>
      </c>
      <c r="G27" s="19" t="str">
        <f aca="false">IF(OR(D27="",$E$14=""),"",IF(C27&lt;=$E$14,0,IF($E$13="",0,$E$10/$E$13)))</f>
        <v/>
      </c>
      <c r="H27" s="19" t="str">
        <f aca="false">IF(OR(F27="",G27=""),"",F27+G27)</f>
        <v/>
      </c>
      <c r="I27" s="19" t="str">
        <f aca="false">IF(OR(D27="",E27=""),"",D27+E27-G27)</f>
        <v/>
      </c>
      <c r="J27" s="7" t="s">
        <v>782</v>
      </c>
    </row>
    <row r="28" customFormat="false" ht="15" hidden="false" customHeight="false" outlineLevel="0" collapsed="false">
      <c r="C28" s="0" t="n">
        <v>8</v>
      </c>
      <c r="D28" s="19" t="str">
        <f aca="false">IF(I27="","",I27)</f>
        <v/>
      </c>
      <c r="E28" s="19" t="str">
        <f aca="false">IF(OR($E$10="",$E$16=""),"",IF(C28=$E$16,$E$10,0))</f>
        <v/>
      </c>
      <c r="F28" s="19" t="str">
        <f aca="false">IF(OR(D28="",E28="",$E$11=""),"",(D28+E28)*$E$11/12)</f>
        <v/>
      </c>
      <c r="G28" s="19" t="str">
        <f aca="false">IF(OR(D28="",$E$14=""),"",IF(C28&lt;=$E$14,0,IF($E$13="",0,$E$10/$E$13)))</f>
        <v/>
      </c>
      <c r="H28" s="19" t="str">
        <f aca="false">IF(OR(F28="",G28=""),"",F28+G28)</f>
        <v/>
      </c>
      <c r="I28" s="19" t="str">
        <f aca="false">IF(OR(D28="",E28=""),"",D28+E28-G28)</f>
        <v/>
      </c>
      <c r="J28" s="7" t="s">
        <v>782</v>
      </c>
    </row>
    <row r="29" customFormat="false" ht="15" hidden="false" customHeight="false" outlineLevel="0" collapsed="false">
      <c r="C29" s="0" t="n">
        <v>9</v>
      </c>
      <c r="D29" s="19" t="str">
        <f aca="false">IF(I28="","",I28)</f>
        <v/>
      </c>
      <c r="E29" s="19" t="str">
        <f aca="false">IF(OR($E$10="",$E$16=""),"",IF(C29=$E$16,$E$10,0))</f>
        <v/>
      </c>
      <c r="F29" s="19" t="str">
        <f aca="false">IF(OR(D29="",E29="",$E$11=""),"",(D29+E29)*$E$11/12)</f>
        <v/>
      </c>
      <c r="G29" s="19" t="str">
        <f aca="false">IF(OR(D29="",$E$14=""),"",IF(C29&lt;=$E$14,0,IF($E$13="",0,$E$10/$E$13)))</f>
        <v/>
      </c>
      <c r="H29" s="19" t="str">
        <f aca="false">IF(OR(F29="",G29=""),"",F29+G29)</f>
        <v/>
      </c>
      <c r="I29" s="19" t="str">
        <f aca="false">IF(OR(D29="",E29=""),"",D29+E29-G29)</f>
        <v/>
      </c>
      <c r="J29" s="7" t="s">
        <v>782</v>
      </c>
    </row>
    <row r="30" customFormat="false" ht="15" hidden="false" customHeight="false" outlineLevel="0" collapsed="false">
      <c r="C30" s="0" t="n">
        <v>10</v>
      </c>
      <c r="D30" s="19" t="str">
        <f aca="false">IF(I29="","",I29)</f>
        <v/>
      </c>
      <c r="E30" s="19" t="str">
        <f aca="false">IF(OR($E$10="",$E$16=""),"",IF(C30=$E$16,$E$10,0))</f>
        <v/>
      </c>
      <c r="F30" s="19" t="str">
        <f aca="false">IF(OR(D30="",E30="",$E$11=""),"",(D30+E30)*$E$11/12)</f>
        <v/>
      </c>
      <c r="G30" s="19" t="str">
        <f aca="false">IF(OR(D30="",$E$14=""),"",IF(C30&lt;=$E$14,0,IF($E$13="",0,$E$10/$E$13)))</f>
        <v/>
      </c>
      <c r="H30" s="19" t="str">
        <f aca="false">IF(OR(F30="",G30=""),"",F30+G30)</f>
        <v/>
      </c>
      <c r="I30" s="19" t="str">
        <f aca="false">IF(OR(D30="",E30=""),"",D30+E30-G30)</f>
        <v/>
      </c>
      <c r="J30" s="7" t="s">
        <v>782</v>
      </c>
    </row>
    <row r="31" customFormat="false" ht="15" hidden="false" customHeight="false" outlineLevel="0" collapsed="false">
      <c r="C31" s="0" t="n">
        <v>11</v>
      </c>
      <c r="D31" s="19" t="str">
        <f aca="false">IF(I30="","",I30)</f>
        <v/>
      </c>
      <c r="E31" s="19" t="str">
        <f aca="false">IF(OR($E$10="",$E$16=""),"",IF(C31=$E$16,$E$10,0))</f>
        <v/>
      </c>
      <c r="F31" s="19" t="str">
        <f aca="false">IF(OR(D31="",E31="",$E$11=""),"",(D31+E31)*$E$11/12)</f>
        <v/>
      </c>
      <c r="G31" s="19" t="str">
        <f aca="false">IF(OR(D31="",$E$14=""),"",IF(C31&lt;=$E$14,0,IF($E$13="",0,$E$10/$E$13)))</f>
        <v/>
      </c>
      <c r="H31" s="19" t="str">
        <f aca="false">IF(OR(F31="",G31=""),"",F31+G31)</f>
        <v/>
      </c>
      <c r="I31" s="19" t="str">
        <f aca="false">IF(OR(D31="",E31=""),"",D31+E31-G31)</f>
        <v/>
      </c>
      <c r="J31" s="7" t="s">
        <v>782</v>
      </c>
    </row>
    <row r="32" customFormat="false" ht="15" hidden="false" customHeight="false" outlineLevel="0" collapsed="false">
      <c r="C32" s="0" t="n">
        <v>12</v>
      </c>
      <c r="D32" s="19" t="str">
        <f aca="false">IF(I31="","",I31)</f>
        <v/>
      </c>
      <c r="E32" s="19" t="str">
        <f aca="false">IF(OR($E$10="",$E$16=""),"",IF(C32=$E$16,$E$10,0))</f>
        <v/>
      </c>
      <c r="F32" s="19" t="str">
        <f aca="false">IF(OR(D32="",E32="",$E$11=""),"",(D32+E32)*$E$11/12)</f>
        <v/>
      </c>
      <c r="G32" s="19" t="str">
        <f aca="false">IF(OR(D32="",$E$14=""),"",IF(C32&lt;=$E$14,0,IF($E$13="",0,$E$10/$E$13)))</f>
        <v/>
      </c>
      <c r="H32" s="19" t="str">
        <f aca="false">IF(OR(F32="",G32=""),"",F32+G32)</f>
        <v/>
      </c>
      <c r="I32" s="19" t="str">
        <f aca="false">IF(OR(D32="",E32=""),"",D32+E32-G32)</f>
        <v/>
      </c>
      <c r="J32" s="7" t="s">
        <v>782</v>
      </c>
    </row>
    <row r="33" customFormat="false" ht="15" hidden="false" customHeight="false" outlineLevel="0" collapsed="false">
      <c r="C33" s="0" t="n">
        <v>13</v>
      </c>
      <c r="D33" s="19" t="str">
        <f aca="false">IF(I32="","",I32)</f>
        <v/>
      </c>
      <c r="E33" s="19" t="str">
        <f aca="false">IF(OR($E$10="",$E$16=""),"",IF(C33=$E$16,$E$10,0))</f>
        <v/>
      </c>
      <c r="F33" s="19" t="str">
        <f aca="false">IF(OR(D33="",E33="",$E$11=""),"",(D33+E33)*$E$11/12)</f>
        <v/>
      </c>
      <c r="G33" s="19" t="str">
        <f aca="false">IF(OR(D33="",$E$14=""),"",IF(C33&lt;=$E$14,0,IF($E$13="",0,$E$10/$E$13)))</f>
        <v/>
      </c>
      <c r="H33" s="19" t="str">
        <f aca="false">IF(OR(F33="",G33=""),"",F33+G33)</f>
        <v/>
      </c>
      <c r="I33" s="19" t="str">
        <f aca="false">IF(OR(D33="",E33=""),"",D33+E33-G33)</f>
        <v/>
      </c>
      <c r="J33" s="7" t="s">
        <v>782</v>
      </c>
    </row>
    <row r="34" customFormat="false" ht="15" hidden="false" customHeight="false" outlineLevel="0" collapsed="false">
      <c r="C34" s="0" t="n">
        <v>14</v>
      </c>
      <c r="D34" s="19" t="str">
        <f aca="false">IF(I33="","",I33)</f>
        <v/>
      </c>
      <c r="E34" s="19" t="str">
        <f aca="false">IF(OR($E$10="",$E$16=""),"",IF(C34=$E$16,$E$10,0))</f>
        <v/>
      </c>
      <c r="F34" s="19" t="str">
        <f aca="false">IF(OR(D34="",E34="",$E$11=""),"",(D34+E34)*$E$11/12)</f>
        <v/>
      </c>
      <c r="G34" s="19" t="str">
        <f aca="false">IF(OR(D34="",$E$14=""),"",IF(C34&lt;=$E$14,0,IF($E$13="",0,$E$10/$E$13)))</f>
        <v/>
      </c>
      <c r="H34" s="19" t="str">
        <f aca="false">IF(OR(F34="",G34=""),"",F34+G34)</f>
        <v/>
      </c>
      <c r="I34" s="19" t="str">
        <f aca="false">IF(OR(D34="",E34=""),"",D34+E34-G34)</f>
        <v/>
      </c>
      <c r="J34" s="7" t="s">
        <v>782</v>
      </c>
    </row>
    <row r="35" customFormat="false" ht="15" hidden="false" customHeight="false" outlineLevel="0" collapsed="false">
      <c r="C35" s="0" t="n">
        <v>15</v>
      </c>
      <c r="D35" s="19" t="str">
        <f aca="false">IF(I34="","",I34)</f>
        <v/>
      </c>
      <c r="E35" s="19" t="str">
        <f aca="false">IF(OR($E$10="",$E$16=""),"",IF(C35=$E$16,$E$10,0))</f>
        <v/>
      </c>
      <c r="F35" s="19" t="str">
        <f aca="false">IF(OR(D35="",E35="",$E$11=""),"",(D35+E35)*$E$11/12)</f>
        <v/>
      </c>
      <c r="G35" s="19" t="str">
        <f aca="false">IF(OR(D35="",$E$14=""),"",IF(C35&lt;=$E$14,0,IF($E$13="",0,$E$10/$E$13)))</f>
        <v/>
      </c>
      <c r="H35" s="19" t="str">
        <f aca="false">IF(OR(F35="",G35=""),"",F35+G35)</f>
        <v/>
      </c>
      <c r="I35" s="19" t="str">
        <f aca="false">IF(OR(D35="",E35=""),"",D35+E35-G35)</f>
        <v/>
      </c>
      <c r="J35" s="7" t="s">
        <v>782</v>
      </c>
    </row>
    <row r="36" customFormat="false" ht="15" hidden="false" customHeight="false" outlineLevel="0" collapsed="false">
      <c r="C36" s="0" t="n">
        <v>16</v>
      </c>
      <c r="D36" s="19" t="str">
        <f aca="false">IF(I35="","",I35)</f>
        <v/>
      </c>
      <c r="E36" s="19" t="str">
        <f aca="false">IF(OR($E$10="",$E$16=""),"",IF(C36=$E$16,$E$10,0))</f>
        <v/>
      </c>
      <c r="F36" s="19" t="str">
        <f aca="false">IF(OR(D36="",E36="",$E$11=""),"",(D36+E36)*$E$11/12)</f>
        <v/>
      </c>
      <c r="G36" s="19" t="str">
        <f aca="false">IF(OR(D36="",$E$14=""),"",IF(C36&lt;=$E$14,0,IF($E$13="",0,$E$10/$E$13)))</f>
        <v/>
      </c>
      <c r="H36" s="19" t="str">
        <f aca="false">IF(OR(F36="",G36=""),"",F36+G36)</f>
        <v/>
      </c>
      <c r="I36" s="19" t="str">
        <f aca="false">IF(OR(D36="",E36=""),"",D36+E36-G36)</f>
        <v/>
      </c>
      <c r="J36" s="7" t="s">
        <v>782</v>
      </c>
    </row>
    <row r="37" customFormat="false" ht="15" hidden="false" customHeight="false" outlineLevel="0" collapsed="false">
      <c r="C37" s="0" t="n">
        <v>17</v>
      </c>
      <c r="D37" s="19" t="str">
        <f aca="false">IF(I36="","",I36)</f>
        <v/>
      </c>
      <c r="E37" s="19" t="str">
        <f aca="false">IF(OR($E$10="",$E$16=""),"",IF(C37=$E$16,$E$10,0))</f>
        <v/>
      </c>
      <c r="F37" s="19" t="str">
        <f aca="false">IF(OR(D37="",E37="",$E$11=""),"",(D37+E37)*$E$11/12)</f>
        <v/>
      </c>
      <c r="G37" s="19" t="str">
        <f aca="false">IF(OR(D37="",$E$14=""),"",IF(C37&lt;=$E$14,0,IF($E$13="",0,$E$10/$E$13)))</f>
        <v/>
      </c>
      <c r="H37" s="19" t="str">
        <f aca="false">IF(OR(F37="",G37=""),"",F37+G37)</f>
        <v/>
      </c>
      <c r="I37" s="19" t="str">
        <f aca="false">IF(OR(D37="",E37=""),"",D37+E37-G37)</f>
        <v/>
      </c>
      <c r="J37" s="7" t="s">
        <v>782</v>
      </c>
    </row>
    <row r="38" customFormat="false" ht="15" hidden="false" customHeight="false" outlineLevel="0" collapsed="false">
      <c r="C38" s="0" t="n">
        <v>18</v>
      </c>
      <c r="D38" s="19" t="str">
        <f aca="false">IF(I37="","",I37)</f>
        <v/>
      </c>
      <c r="E38" s="19" t="str">
        <f aca="false">IF(OR($E$10="",$E$16=""),"",IF(C38=$E$16,$E$10,0))</f>
        <v/>
      </c>
      <c r="F38" s="19" t="str">
        <f aca="false">IF(OR(D38="",E38="",$E$11=""),"",(D38+E38)*$E$11/12)</f>
        <v/>
      </c>
      <c r="G38" s="19" t="str">
        <f aca="false">IF(OR(D38="",$E$14=""),"",IF(C38&lt;=$E$14,0,IF($E$13="",0,$E$10/$E$13)))</f>
        <v/>
      </c>
      <c r="H38" s="19" t="str">
        <f aca="false">IF(OR(F38="",G38=""),"",F38+G38)</f>
        <v/>
      </c>
      <c r="I38" s="19" t="str">
        <f aca="false">IF(OR(D38="",E38=""),"",D38+E38-G38)</f>
        <v/>
      </c>
      <c r="J38" s="7" t="s">
        <v>782</v>
      </c>
    </row>
    <row r="39" customFormat="false" ht="15" hidden="false" customHeight="false" outlineLevel="0" collapsed="false">
      <c r="C39" s="0" t="n">
        <v>19</v>
      </c>
      <c r="D39" s="19" t="str">
        <f aca="false">IF(I38="","",I38)</f>
        <v/>
      </c>
      <c r="E39" s="19" t="str">
        <f aca="false">IF(OR($E$10="",$E$16=""),"",IF(C39=$E$16,$E$10,0))</f>
        <v/>
      </c>
      <c r="F39" s="19" t="str">
        <f aca="false">IF(OR(D39="",E39="",$E$11=""),"",(D39+E39)*$E$11/12)</f>
        <v/>
      </c>
      <c r="G39" s="19" t="str">
        <f aca="false">IF(OR(D39="",$E$14=""),"",IF(C39&lt;=$E$14,0,IF($E$13="",0,$E$10/$E$13)))</f>
        <v/>
      </c>
      <c r="H39" s="19" t="str">
        <f aca="false">IF(OR(F39="",G39=""),"",F39+G39)</f>
        <v/>
      </c>
      <c r="I39" s="19" t="str">
        <f aca="false">IF(OR(D39="",E39=""),"",D39+E39-G39)</f>
        <v/>
      </c>
      <c r="J39" s="7" t="s">
        <v>782</v>
      </c>
    </row>
    <row r="40" customFormat="false" ht="15" hidden="false" customHeight="false" outlineLevel="0" collapsed="false">
      <c r="C40" s="0" t="n">
        <v>20</v>
      </c>
      <c r="D40" s="19" t="str">
        <f aca="false">IF(I39="","",I39)</f>
        <v/>
      </c>
      <c r="E40" s="19" t="str">
        <f aca="false">IF(OR($E$10="",$E$16=""),"",IF(C40=$E$16,$E$10,0))</f>
        <v/>
      </c>
      <c r="F40" s="19" t="str">
        <f aca="false">IF(OR(D40="",E40="",$E$11=""),"",(D40+E40)*$E$11/12)</f>
        <v/>
      </c>
      <c r="G40" s="19" t="str">
        <f aca="false">IF(OR(D40="",$E$14=""),"",IF(C40&lt;=$E$14,0,IF($E$13="",0,$E$10/$E$13)))</f>
        <v/>
      </c>
      <c r="H40" s="19" t="str">
        <f aca="false">IF(OR(F40="",G40=""),"",F40+G40)</f>
        <v/>
      </c>
      <c r="I40" s="19" t="str">
        <f aca="false">IF(OR(D40="",E40=""),"",D40+E40-G40)</f>
        <v/>
      </c>
      <c r="J40" s="7" t="s">
        <v>782</v>
      </c>
    </row>
    <row r="41" customFormat="false" ht="15" hidden="false" customHeight="false" outlineLevel="0" collapsed="false">
      <c r="C41" s="0" t="n">
        <v>21</v>
      </c>
      <c r="D41" s="19" t="str">
        <f aca="false">IF(I40="","",I40)</f>
        <v/>
      </c>
      <c r="E41" s="19" t="str">
        <f aca="false">IF(OR($E$10="",$E$16=""),"",IF(C41=$E$16,$E$10,0))</f>
        <v/>
      </c>
      <c r="F41" s="19" t="str">
        <f aca="false">IF(OR(D41="",E41="",$E$11=""),"",(D41+E41)*$E$11/12)</f>
        <v/>
      </c>
      <c r="G41" s="19" t="str">
        <f aca="false">IF(OR(D41="",$E$14=""),"",IF(C41&lt;=$E$14,0,IF($E$13="",0,$E$10/$E$13)))</f>
        <v/>
      </c>
      <c r="H41" s="19" t="str">
        <f aca="false">IF(OR(F41="",G41=""),"",F41+G41)</f>
        <v/>
      </c>
      <c r="I41" s="19" t="str">
        <f aca="false">IF(OR(D41="",E41=""),"",D41+E41-G41)</f>
        <v/>
      </c>
      <c r="J41" s="7" t="s">
        <v>782</v>
      </c>
    </row>
    <row r="42" customFormat="false" ht="15" hidden="false" customHeight="false" outlineLevel="0" collapsed="false">
      <c r="C42" s="0" t="n">
        <v>22</v>
      </c>
      <c r="D42" s="19" t="str">
        <f aca="false">IF(I41="","",I41)</f>
        <v/>
      </c>
      <c r="E42" s="19" t="str">
        <f aca="false">IF(OR($E$10="",$E$16=""),"",IF(C42=$E$16,$E$10,0))</f>
        <v/>
      </c>
      <c r="F42" s="19" t="str">
        <f aca="false">IF(OR(D42="",E42="",$E$11=""),"",(D42+E42)*$E$11/12)</f>
        <v/>
      </c>
      <c r="G42" s="19" t="str">
        <f aca="false">IF(OR(D42="",$E$14=""),"",IF(C42&lt;=$E$14,0,IF($E$13="",0,$E$10/$E$13)))</f>
        <v/>
      </c>
      <c r="H42" s="19" t="str">
        <f aca="false">IF(OR(F42="",G42=""),"",F42+G42)</f>
        <v/>
      </c>
      <c r="I42" s="19" t="str">
        <f aca="false">IF(OR(D42="",E42=""),"",D42+E42-G42)</f>
        <v/>
      </c>
      <c r="J42" s="7" t="s">
        <v>782</v>
      </c>
    </row>
    <row r="43" customFormat="false" ht="15" hidden="false" customHeight="false" outlineLevel="0" collapsed="false">
      <c r="C43" s="0" t="n">
        <v>23</v>
      </c>
      <c r="D43" s="19" t="str">
        <f aca="false">IF(I42="","",I42)</f>
        <v/>
      </c>
      <c r="E43" s="19" t="str">
        <f aca="false">IF(OR($E$10="",$E$16=""),"",IF(C43=$E$16,$E$10,0))</f>
        <v/>
      </c>
      <c r="F43" s="19" t="str">
        <f aca="false">IF(OR(D43="",E43="",$E$11=""),"",(D43+E43)*$E$11/12)</f>
        <v/>
      </c>
      <c r="G43" s="19" t="str">
        <f aca="false">IF(OR(D43="",$E$14=""),"",IF(C43&lt;=$E$14,0,IF($E$13="",0,$E$10/$E$13)))</f>
        <v/>
      </c>
      <c r="H43" s="19" t="str">
        <f aca="false">IF(OR(F43="",G43=""),"",F43+G43)</f>
        <v/>
      </c>
      <c r="I43" s="19" t="str">
        <f aca="false">IF(OR(D43="",E43=""),"",D43+E43-G43)</f>
        <v/>
      </c>
      <c r="J43" s="7" t="s">
        <v>782</v>
      </c>
    </row>
    <row r="44" customFormat="false" ht="15" hidden="false" customHeight="false" outlineLevel="0" collapsed="false">
      <c r="C44" s="0" t="n">
        <v>24</v>
      </c>
      <c r="D44" s="19" t="str">
        <f aca="false">IF(I43="","",I43)</f>
        <v/>
      </c>
      <c r="E44" s="19" t="str">
        <f aca="false">IF(OR($E$10="",$E$16=""),"",IF(C44=$E$16,$E$10,0))</f>
        <v/>
      </c>
      <c r="F44" s="19" t="str">
        <f aca="false">IF(OR(D44="",E44="",$E$11=""),"",(D44+E44)*$E$11/12)</f>
        <v/>
      </c>
      <c r="G44" s="19" t="str">
        <f aca="false">IF(OR(D44="",$E$14=""),"",IF(C44&lt;=$E$14,0,IF($E$13="",0,$E$10/$E$13)))</f>
        <v/>
      </c>
      <c r="H44" s="19" t="str">
        <f aca="false">IF(OR(F44="",G44=""),"",F44+G44)</f>
        <v/>
      </c>
      <c r="I44" s="19" t="str">
        <f aca="false">IF(OR(D44="",E44=""),"",D44+E44-G44)</f>
        <v/>
      </c>
      <c r="J44" s="7" t="s">
        <v>782</v>
      </c>
    </row>
    <row r="45" customFormat="false" ht="15" hidden="false" customHeight="false" outlineLevel="0" collapsed="false">
      <c r="C45" s="0" t="n">
        <v>25</v>
      </c>
      <c r="D45" s="19" t="str">
        <f aca="false">IF(I44="","",I44)</f>
        <v/>
      </c>
      <c r="E45" s="19" t="str">
        <f aca="false">IF(OR($E$10="",$E$16=""),"",IF(C45=$E$16,$E$10,0))</f>
        <v/>
      </c>
      <c r="F45" s="19" t="str">
        <f aca="false">IF(OR(D45="",E45="",$E$11=""),"",(D45+E45)*$E$11/12)</f>
        <v/>
      </c>
      <c r="G45" s="19" t="str">
        <f aca="false">IF(OR(D45="",$E$14=""),"",IF(C45&lt;=$E$14,0,IF($E$13="",0,$E$10/$E$13)))</f>
        <v/>
      </c>
      <c r="H45" s="19" t="str">
        <f aca="false">IF(OR(F45="",G45=""),"",F45+G45)</f>
        <v/>
      </c>
      <c r="I45" s="19" t="str">
        <f aca="false">IF(OR(D45="",E45=""),"",D45+E45-G45)</f>
        <v/>
      </c>
      <c r="J45" s="7" t="s">
        <v>782</v>
      </c>
    </row>
    <row r="46" customFormat="false" ht="15" hidden="false" customHeight="false" outlineLevel="0" collapsed="false">
      <c r="C46" s="0" t="n">
        <v>26</v>
      </c>
      <c r="D46" s="19" t="str">
        <f aca="false">IF(I45="","",I45)</f>
        <v/>
      </c>
      <c r="E46" s="19" t="str">
        <f aca="false">IF(OR($E$10="",$E$16=""),"",IF(C46=$E$16,$E$10,0))</f>
        <v/>
      </c>
      <c r="F46" s="19" t="str">
        <f aca="false">IF(OR(D46="",E46="",$E$11=""),"",(D46+E46)*$E$11/12)</f>
        <v/>
      </c>
      <c r="G46" s="19" t="str">
        <f aca="false">IF(OR(D46="",$E$14=""),"",IF(C46&lt;=$E$14,0,IF($E$13="",0,$E$10/$E$13)))</f>
        <v/>
      </c>
      <c r="H46" s="19" t="str">
        <f aca="false">IF(OR(F46="",G46=""),"",F46+G46)</f>
        <v/>
      </c>
      <c r="I46" s="19" t="str">
        <f aca="false">IF(OR(D46="",E46=""),"",D46+E46-G46)</f>
        <v/>
      </c>
      <c r="J46" s="7" t="s">
        <v>782</v>
      </c>
    </row>
    <row r="47" customFormat="false" ht="15" hidden="false" customHeight="false" outlineLevel="0" collapsed="false">
      <c r="C47" s="0" t="n">
        <v>27</v>
      </c>
      <c r="D47" s="19" t="str">
        <f aca="false">IF(I46="","",I46)</f>
        <v/>
      </c>
      <c r="E47" s="19" t="str">
        <f aca="false">IF(OR($E$10="",$E$16=""),"",IF(C47=$E$16,$E$10,0))</f>
        <v/>
      </c>
      <c r="F47" s="19" t="str">
        <f aca="false">IF(OR(D47="",E47="",$E$11=""),"",(D47+E47)*$E$11/12)</f>
        <v/>
      </c>
      <c r="G47" s="19" t="str">
        <f aca="false">IF(OR(D47="",$E$14=""),"",IF(C47&lt;=$E$14,0,IF($E$13="",0,$E$10/$E$13)))</f>
        <v/>
      </c>
      <c r="H47" s="19" t="str">
        <f aca="false">IF(OR(F47="",G47=""),"",F47+G47)</f>
        <v/>
      </c>
      <c r="I47" s="19" t="str">
        <f aca="false">IF(OR(D47="",E47=""),"",D47+E47-G47)</f>
        <v/>
      </c>
      <c r="J47" s="7" t="s">
        <v>782</v>
      </c>
    </row>
    <row r="48" customFormat="false" ht="15" hidden="false" customHeight="false" outlineLevel="0" collapsed="false">
      <c r="C48" s="0" t="n">
        <v>28</v>
      </c>
      <c r="D48" s="19" t="str">
        <f aca="false">IF(I47="","",I47)</f>
        <v/>
      </c>
      <c r="E48" s="19" t="str">
        <f aca="false">IF(OR($E$10="",$E$16=""),"",IF(C48=$E$16,$E$10,0))</f>
        <v/>
      </c>
      <c r="F48" s="19" t="str">
        <f aca="false">IF(OR(D48="",E48="",$E$11=""),"",(D48+E48)*$E$11/12)</f>
        <v/>
      </c>
      <c r="G48" s="19" t="str">
        <f aca="false">IF(OR(D48="",$E$14=""),"",IF(C48&lt;=$E$14,0,IF($E$13="",0,$E$10/$E$13)))</f>
        <v/>
      </c>
      <c r="H48" s="19" t="str">
        <f aca="false">IF(OR(F48="",G48=""),"",F48+G48)</f>
        <v/>
      </c>
      <c r="I48" s="19" t="str">
        <f aca="false">IF(OR(D48="",E48=""),"",D48+E48-G48)</f>
        <v/>
      </c>
      <c r="J48" s="7" t="s">
        <v>782</v>
      </c>
    </row>
    <row r="49" customFormat="false" ht="15" hidden="false" customHeight="false" outlineLevel="0" collapsed="false">
      <c r="C49" s="0" t="n">
        <v>29</v>
      </c>
      <c r="D49" s="19" t="str">
        <f aca="false">IF(I48="","",I48)</f>
        <v/>
      </c>
      <c r="E49" s="19" t="str">
        <f aca="false">IF(OR($E$10="",$E$16=""),"",IF(C49=$E$16,$E$10,0))</f>
        <v/>
      </c>
      <c r="F49" s="19" t="str">
        <f aca="false">IF(OR(D49="",E49="",$E$11=""),"",(D49+E49)*$E$11/12)</f>
        <v/>
      </c>
      <c r="G49" s="19" t="str">
        <f aca="false">IF(OR(D49="",$E$14=""),"",IF(C49&lt;=$E$14,0,IF($E$13="",0,$E$10/$E$13)))</f>
        <v/>
      </c>
      <c r="H49" s="19" t="str">
        <f aca="false">IF(OR(F49="",G49=""),"",F49+G49)</f>
        <v/>
      </c>
      <c r="I49" s="19" t="str">
        <f aca="false">IF(OR(D49="",E49=""),"",D49+E49-G49)</f>
        <v/>
      </c>
      <c r="J49" s="7" t="s">
        <v>782</v>
      </c>
    </row>
    <row r="50" customFormat="false" ht="15" hidden="false" customHeight="false" outlineLevel="0" collapsed="false">
      <c r="C50" s="0" t="n">
        <v>30</v>
      </c>
      <c r="D50" s="19" t="str">
        <f aca="false">IF(I49="","",I49)</f>
        <v/>
      </c>
      <c r="E50" s="19" t="str">
        <f aca="false">IF(OR($E$10="",$E$16=""),"",IF(C50=$E$16,$E$10,0))</f>
        <v/>
      </c>
      <c r="F50" s="19" t="str">
        <f aca="false">IF(OR(D50="",E50="",$E$11=""),"",(D50+E50)*$E$11/12)</f>
        <v/>
      </c>
      <c r="G50" s="19" t="str">
        <f aca="false">IF(OR(D50="",$E$14=""),"",IF(C50&lt;=$E$14,0,IF($E$13="",0,$E$10/$E$13)))</f>
        <v/>
      </c>
      <c r="H50" s="19" t="str">
        <f aca="false">IF(OR(F50="",G50=""),"",F50+G50)</f>
        <v/>
      </c>
      <c r="I50" s="19" t="str">
        <f aca="false">IF(OR(D50="",E50=""),"",D50+E50-G50)</f>
        <v/>
      </c>
      <c r="J50" s="7" t="s">
        <v>782</v>
      </c>
    </row>
    <row r="51" customFormat="false" ht="15" hidden="false" customHeight="false" outlineLevel="0" collapsed="false">
      <c r="C51" s="0" t="n">
        <v>31</v>
      </c>
      <c r="D51" s="19" t="str">
        <f aca="false">IF(I50="","",I50)</f>
        <v/>
      </c>
      <c r="E51" s="19" t="str">
        <f aca="false">IF(OR($E$10="",$E$16=""),"",IF(C51=$E$16,$E$10,0))</f>
        <v/>
      </c>
      <c r="F51" s="19" t="str">
        <f aca="false">IF(OR(D51="",E51="",$E$11=""),"",(D51+E51)*$E$11/12)</f>
        <v/>
      </c>
      <c r="G51" s="19" t="str">
        <f aca="false">IF(OR(D51="",$E$14=""),"",IF(C51&lt;=$E$14,0,IF($E$13="",0,$E$10/$E$13)))</f>
        <v/>
      </c>
      <c r="H51" s="19" t="str">
        <f aca="false">IF(OR(F51="",G51=""),"",F51+G51)</f>
        <v/>
      </c>
      <c r="I51" s="19" t="str">
        <f aca="false">IF(OR(D51="",E51=""),"",D51+E51-G51)</f>
        <v/>
      </c>
      <c r="J51" s="7" t="s">
        <v>782</v>
      </c>
    </row>
    <row r="52" customFormat="false" ht="15" hidden="false" customHeight="false" outlineLevel="0" collapsed="false">
      <c r="C52" s="0" t="n">
        <v>32</v>
      </c>
      <c r="D52" s="19" t="str">
        <f aca="false">IF(I51="","",I51)</f>
        <v/>
      </c>
      <c r="E52" s="19" t="str">
        <f aca="false">IF(OR($E$10="",$E$16=""),"",IF(C52=$E$16,$E$10,0))</f>
        <v/>
      </c>
      <c r="F52" s="19" t="str">
        <f aca="false">IF(OR(D52="",E52="",$E$11=""),"",(D52+E52)*$E$11/12)</f>
        <v/>
      </c>
      <c r="G52" s="19" t="str">
        <f aca="false">IF(OR(D52="",$E$14=""),"",IF(C52&lt;=$E$14,0,IF($E$13="",0,$E$10/$E$13)))</f>
        <v/>
      </c>
      <c r="H52" s="19" t="str">
        <f aca="false">IF(OR(F52="",G52=""),"",F52+G52)</f>
        <v/>
      </c>
      <c r="I52" s="19" t="str">
        <f aca="false">IF(OR(D52="",E52=""),"",D52+E52-G52)</f>
        <v/>
      </c>
      <c r="J52" s="7" t="s">
        <v>782</v>
      </c>
    </row>
    <row r="53" customFormat="false" ht="15" hidden="false" customHeight="false" outlineLevel="0" collapsed="false">
      <c r="C53" s="0" t="n">
        <v>33</v>
      </c>
      <c r="D53" s="19" t="str">
        <f aca="false">IF(I52="","",I52)</f>
        <v/>
      </c>
      <c r="E53" s="19" t="str">
        <f aca="false">IF(OR($E$10="",$E$16=""),"",IF(C53=$E$16,$E$10,0))</f>
        <v/>
      </c>
      <c r="F53" s="19" t="str">
        <f aca="false">IF(OR(D53="",E53="",$E$11=""),"",(D53+E53)*$E$11/12)</f>
        <v/>
      </c>
      <c r="G53" s="19" t="str">
        <f aca="false">IF(OR(D53="",$E$14=""),"",IF(C53&lt;=$E$14,0,IF($E$13="",0,$E$10/$E$13)))</f>
        <v/>
      </c>
      <c r="H53" s="19" t="str">
        <f aca="false">IF(OR(F53="",G53=""),"",F53+G53)</f>
        <v/>
      </c>
      <c r="I53" s="19" t="str">
        <f aca="false">IF(OR(D53="",E53=""),"",D53+E53-G53)</f>
        <v/>
      </c>
      <c r="J53" s="7" t="s">
        <v>782</v>
      </c>
    </row>
    <row r="54" customFormat="false" ht="15" hidden="false" customHeight="false" outlineLevel="0" collapsed="false">
      <c r="C54" s="0" t="n">
        <v>34</v>
      </c>
      <c r="D54" s="19" t="str">
        <f aca="false">IF(I53="","",I53)</f>
        <v/>
      </c>
      <c r="E54" s="19" t="str">
        <f aca="false">IF(OR($E$10="",$E$16=""),"",IF(C54=$E$16,$E$10,0))</f>
        <v/>
      </c>
      <c r="F54" s="19" t="str">
        <f aca="false">IF(OR(D54="",E54="",$E$11=""),"",(D54+E54)*$E$11/12)</f>
        <v/>
      </c>
      <c r="G54" s="19" t="str">
        <f aca="false">IF(OR(D54="",$E$14=""),"",IF(C54&lt;=$E$14,0,IF($E$13="",0,$E$10/$E$13)))</f>
        <v/>
      </c>
      <c r="H54" s="19" t="str">
        <f aca="false">IF(OR(F54="",G54=""),"",F54+G54)</f>
        <v/>
      </c>
      <c r="I54" s="19" t="str">
        <f aca="false">IF(OR(D54="",E54=""),"",D54+E54-G54)</f>
        <v/>
      </c>
      <c r="J54" s="7" t="s">
        <v>782</v>
      </c>
    </row>
    <row r="55" customFormat="false" ht="15" hidden="false" customHeight="false" outlineLevel="0" collapsed="false">
      <c r="C55" s="0" t="n">
        <v>35</v>
      </c>
      <c r="D55" s="19" t="str">
        <f aca="false">IF(I54="","",I54)</f>
        <v/>
      </c>
      <c r="E55" s="19" t="str">
        <f aca="false">IF(OR($E$10="",$E$16=""),"",IF(C55=$E$16,$E$10,0))</f>
        <v/>
      </c>
      <c r="F55" s="19" t="str">
        <f aca="false">IF(OR(D55="",E55="",$E$11=""),"",(D55+E55)*$E$11/12)</f>
        <v/>
      </c>
      <c r="G55" s="19" t="str">
        <f aca="false">IF(OR(D55="",$E$14=""),"",IF(C55&lt;=$E$14,0,IF($E$13="",0,$E$10/$E$13)))</f>
        <v/>
      </c>
      <c r="H55" s="19" t="str">
        <f aca="false">IF(OR(F55="",G55=""),"",F55+G55)</f>
        <v/>
      </c>
      <c r="I55" s="19" t="str">
        <f aca="false">IF(OR(D55="",E55=""),"",D55+E55-G55)</f>
        <v/>
      </c>
      <c r="J55" s="7" t="s">
        <v>782</v>
      </c>
    </row>
    <row r="56" customFormat="false" ht="15" hidden="false" customHeight="false" outlineLevel="0" collapsed="false">
      <c r="C56" s="0" t="n">
        <v>36</v>
      </c>
      <c r="D56" s="19" t="str">
        <f aca="false">IF(I55="","",I55)</f>
        <v/>
      </c>
      <c r="E56" s="19" t="str">
        <f aca="false">IF(OR($E$10="",$E$16=""),"",IF(C56=$E$16,$E$10,0))</f>
        <v/>
      </c>
      <c r="F56" s="19" t="str">
        <f aca="false">IF(OR(D56="",E56="",$E$11=""),"",(D56+E56)*$E$11/12)</f>
        <v/>
      </c>
      <c r="G56" s="19" t="str">
        <f aca="false">IF(OR(D56="",$E$14=""),"",IF(C56&lt;=$E$14,0,IF($E$13="",0,$E$10/$E$13)))</f>
        <v/>
      </c>
      <c r="H56" s="19" t="str">
        <f aca="false">IF(OR(F56="",G56=""),"",F56+G56)</f>
        <v/>
      </c>
      <c r="I56" s="19" t="str">
        <f aca="false">IF(OR(D56="",E56=""),"",D56+E56-G56)</f>
        <v/>
      </c>
      <c r="J56" s="7" t="s">
        <v>782</v>
      </c>
    </row>
  </sheetData>
  <mergeCells count="3">
    <mergeCell ref="C3:N3"/>
    <mergeCell ref="C8:N8"/>
    <mergeCell ref="C19:N19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Debt Schedule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40"/>
    <col collapsed="false" customWidth="true" hidden="false" outlineLevel="0" max="7" min="7" style="0" width="19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4" min="10" style="0" width="10"/>
  </cols>
  <sheetData>
    <row r="3" customFormat="false" ht="19.7" hidden="false" customHeight="false" outlineLevel="0" collapsed="false">
      <c r="C3" s="1" t="s">
        <v>783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5" hidden="false" customHeight="false" outlineLevel="0" collapsed="false">
      <c r="C5" s="2" t="s">
        <v>784</v>
      </c>
    </row>
    <row r="6" customFormat="false" ht="15" hidden="false" customHeight="false" outlineLevel="0" collapsed="false">
      <c r="C6" s="3" t="s">
        <v>2</v>
      </c>
    </row>
    <row r="8" customFormat="false" ht="15" hidden="false" customHeight="false" outlineLevel="0" collapsed="false">
      <c r="C8" s="4" t="s">
        <v>785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6.4" hidden="false" customHeight="false" outlineLevel="0" collapsed="false">
      <c r="C9" s="5" t="s">
        <v>725</v>
      </c>
      <c r="D9" s="5" t="s">
        <v>732</v>
      </c>
      <c r="E9" s="5" t="s">
        <v>728</v>
      </c>
      <c r="F9" s="5" t="s">
        <v>733</v>
      </c>
      <c r="G9" s="5" t="s">
        <v>734</v>
      </c>
      <c r="H9" s="5" t="s">
        <v>786</v>
      </c>
      <c r="I9" s="5" t="s">
        <v>92</v>
      </c>
    </row>
    <row r="10" customFormat="false" ht="15" hidden="false" customHeight="false" outlineLevel="0" collapsed="false">
      <c r="C10" s="0" t="n">
        <v>1</v>
      </c>
      <c r="D10" s="6" t="str">
        <f aca="false">'Monthly Schedule'!M10</f>
        <v/>
      </c>
      <c r="E10" s="6" t="str">
        <f aca="false">'Monthly Schedule'!G10</f>
        <v/>
      </c>
      <c r="F10" s="6" t="str">
        <f aca="false">'Debt Schedule'!H21</f>
        <v/>
      </c>
      <c r="G10" s="19" t="str">
        <f aca="false">IF(OR(D10="",E10="",F10=""),"",D10-E10-F10)</f>
        <v/>
      </c>
      <c r="H10" s="19" t="str">
        <f aca="false">IF(G10="","",G10)</f>
        <v/>
      </c>
      <c r="I10" s="7" t="s">
        <v>787</v>
      </c>
    </row>
    <row r="11" customFormat="false" ht="15" hidden="false" customHeight="false" outlineLevel="0" collapsed="false">
      <c r="C11" s="0" t="n">
        <v>2</v>
      </c>
      <c r="D11" s="6" t="str">
        <f aca="false">'Monthly Schedule'!M11</f>
        <v/>
      </c>
      <c r="E11" s="6" t="str">
        <f aca="false">'Monthly Schedule'!G11</f>
        <v/>
      </c>
      <c r="F11" s="6" t="str">
        <f aca="false">'Debt Schedule'!H22</f>
        <v/>
      </c>
      <c r="G11" s="19" t="str">
        <f aca="false">IF(OR(D11="",E11="",F11=""),"",D11-E11-F11)</f>
        <v/>
      </c>
      <c r="H11" s="19" t="str">
        <f aca="false">IF(OR(G11="",H10=""),"",H10+G11)</f>
        <v/>
      </c>
      <c r="I11" s="7" t="s">
        <v>787</v>
      </c>
    </row>
    <row r="12" customFormat="false" ht="15" hidden="false" customHeight="false" outlineLevel="0" collapsed="false">
      <c r="C12" s="0" t="n">
        <v>3</v>
      </c>
      <c r="D12" s="6" t="str">
        <f aca="false">'Monthly Schedule'!M12</f>
        <v/>
      </c>
      <c r="E12" s="6" t="str">
        <f aca="false">'Monthly Schedule'!G12</f>
        <v/>
      </c>
      <c r="F12" s="6" t="str">
        <f aca="false">'Debt Schedule'!H23</f>
        <v/>
      </c>
      <c r="G12" s="19" t="str">
        <f aca="false">IF(OR(D12="",E12="",F12=""),"",D12-E12-F12)</f>
        <v/>
      </c>
      <c r="H12" s="19" t="str">
        <f aca="false">IF(OR(G12="",H11=""),"",H11+G12)</f>
        <v/>
      </c>
      <c r="I12" s="7" t="s">
        <v>787</v>
      </c>
    </row>
    <row r="13" customFormat="false" ht="15" hidden="false" customHeight="false" outlineLevel="0" collapsed="false">
      <c r="C13" s="0" t="n">
        <v>4</v>
      </c>
      <c r="D13" s="6" t="str">
        <f aca="false">'Monthly Schedule'!M13</f>
        <v/>
      </c>
      <c r="E13" s="6" t="str">
        <f aca="false">'Monthly Schedule'!G13</f>
        <v/>
      </c>
      <c r="F13" s="6" t="str">
        <f aca="false">'Debt Schedule'!H24</f>
        <v/>
      </c>
      <c r="G13" s="19" t="str">
        <f aca="false">IF(OR(D13="",E13="",F13=""),"",D13-E13-F13)</f>
        <v/>
      </c>
      <c r="H13" s="19" t="str">
        <f aca="false">IF(OR(G13="",H12=""),"",H12+G13)</f>
        <v/>
      </c>
      <c r="I13" s="7" t="s">
        <v>787</v>
      </c>
    </row>
    <row r="14" customFormat="false" ht="15" hidden="false" customHeight="false" outlineLevel="0" collapsed="false">
      <c r="C14" s="0" t="n">
        <v>5</v>
      </c>
      <c r="D14" s="6" t="str">
        <f aca="false">'Monthly Schedule'!M14</f>
        <v/>
      </c>
      <c r="E14" s="6" t="str">
        <f aca="false">'Monthly Schedule'!G14</f>
        <v/>
      </c>
      <c r="F14" s="6" t="str">
        <f aca="false">'Debt Schedule'!H25</f>
        <v/>
      </c>
      <c r="G14" s="19" t="str">
        <f aca="false">IF(OR(D14="",E14="",F14=""),"",D14-E14-F14)</f>
        <v/>
      </c>
      <c r="H14" s="19" t="str">
        <f aca="false">IF(OR(G14="",H13=""),"",H13+G14)</f>
        <v/>
      </c>
      <c r="I14" s="7" t="s">
        <v>787</v>
      </c>
    </row>
    <row r="15" customFormat="false" ht="15" hidden="false" customHeight="false" outlineLevel="0" collapsed="false">
      <c r="C15" s="0" t="n">
        <v>6</v>
      </c>
      <c r="D15" s="6" t="str">
        <f aca="false">'Monthly Schedule'!M15</f>
        <v/>
      </c>
      <c r="E15" s="6" t="str">
        <f aca="false">'Monthly Schedule'!G15</f>
        <v/>
      </c>
      <c r="F15" s="6" t="str">
        <f aca="false">'Debt Schedule'!H26</f>
        <v/>
      </c>
      <c r="G15" s="19" t="str">
        <f aca="false">IF(OR(D15="",E15="",F15=""),"",D15-E15-F15)</f>
        <v/>
      </c>
      <c r="H15" s="19" t="str">
        <f aca="false">IF(OR(G15="",H14=""),"",H14+G15)</f>
        <v/>
      </c>
      <c r="I15" s="7" t="s">
        <v>787</v>
      </c>
    </row>
    <row r="16" customFormat="false" ht="15" hidden="false" customHeight="false" outlineLevel="0" collapsed="false">
      <c r="C16" s="0" t="n">
        <v>7</v>
      </c>
      <c r="D16" s="6" t="str">
        <f aca="false">'Monthly Schedule'!M16</f>
        <v/>
      </c>
      <c r="E16" s="6" t="str">
        <f aca="false">'Monthly Schedule'!G16</f>
        <v/>
      </c>
      <c r="F16" s="6" t="str">
        <f aca="false">'Debt Schedule'!H27</f>
        <v/>
      </c>
      <c r="G16" s="19" t="str">
        <f aca="false">IF(OR(D16="",E16="",F16=""),"",D16-E16-F16)</f>
        <v/>
      </c>
      <c r="H16" s="19" t="str">
        <f aca="false">IF(OR(G16="",H15=""),"",H15+G16)</f>
        <v/>
      </c>
      <c r="I16" s="7" t="s">
        <v>787</v>
      </c>
    </row>
    <row r="17" customFormat="false" ht="15" hidden="false" customHeight="false" outlineLevel="0" collapsed="false">
      <c r="C17" s="0" t="n">
        <v>8</v>
      </c>
      <c r="D17" s="6" t="str">
        <f aca="false">'Monthly Schedule'!M17</f>
        <v/>
      </c>
      <c r="E17" s="6" t="str">
        <f aca="false">'Monthly Schedule'!G17</f>
        <v/>
      </c>
      <c r="F17" s="6" t="str">
        <f aca="false">'Debt Schedule'!H28</f>
        <v/>
      </c>
      <c r="G17" s="19" t="str">
        <f aca="false">IF(OR(D17="",E17="",F17=""),"",D17-E17-F17)</f>
        <v/>
      </c>
      <c r="H17" s="19" t="str">
        <f aca="false">IF(OR(G17="",H16=""),"",H16+G17)</f>
        <v/>
      </c>
      <c r="I17" s="7" t="s">
        <v>787</v>
      </c>
    </row>
    <row r="18" customFormat="false" ht="15" hidden="false" customHeight="false" outlineLevel="0" collapsed="false">
      <c r="C18" s="0" t="n">
        <v>9</v>
      </c>
      <c r="D18" s="6" t="str">
        <f aca="false">'Monthly Schedule'!M18</f>
        <v/>
      </c>
      <c r="E18" s="6" t="str">
        <f aca="false">'Monthly Schedule'!G18</f>
        <v/>
      </c>
      <c r="F18" s="6" t="str">
        <f aca="false">'Debt Schedule'!H29</f>
        <v/>
      </c>
      <c r="G18" s="19" t="str">
        <f aca="false">IF(OR(D18="",E18="",F18=""),"",D18-E18-F18)</f>
        <v/>
      </c>
      <c r="H18" s="19" t="str">
        <f aca="false">IF(OR(G18="",H17=""),"",H17+G18)</f>
        <v/>
      </c>
      <c r="I18" s="7" t="s">
        <v>787</v>
      </c>
    </row>
    <row r="19" customFormat="false" ht="15" hidden="false" customHeight="false" outlineLevel="0" collapsed="false">
      <c r="C19" s="0" t="n">
        <v>10</v>
      </c>
      <c r="D19" s="6" t="str">
        <f aca="false">'Monthly Schedule'!M19</f>
        <v/>
      </c>
      <c r="E19" s="6" t="str">
        <f aca="false">'Monthly Schedule'!G19</f>
        <v/>
      </c>
      <c r="F19" s="6" t="str">
        <f aca="false">'Debt Schedule'!H30</f>
        <v/>
      </c>
      <c r="G19" s="19" t="str">
        <f aca="false">IF(OR(D19="",E19="",F19=""),"",D19-E19-F19)</f>
        <v/>
      </c>
      <c r="H19" s="19" t="str">
        <f aca="false">IF(OR(G19="",H18=""),"",H18+G19)</f>
        <v/>
      </c>
      <c r="I19" s="7" t="s">
        <v>787</v>
      </c>
    </row>
    <row r="20" customFormat="false" ht="15" hidden="false" customHeight="false" outlineLevel="0" collapsed="false">
      <c r="C20" s="0" t="n">
        <v>11</v>
      </c>
      <c r="D20" s="6" t="str">
        <f aca="false">'Monthly Schedule'!M20</f>
        <v/>
      </c>
      <c r="E20" s="6" t="str">
        <f aca="false">'Monthly Schedule'!G20</f>
        <v/>
      </c>
      <c r="F20" s="6" t="str">
        <f aca="false">'Debt Schedule'!H31</f>
        <v/>
      </c>
      <c r="G20" s="19" t="str">
        <f aca="false">IF(OR(D20="",E20="",F20=""),"",D20-E20-F20)</f>
        <v/>
      </c>
      <c r="H20" s="19" t="str">
        <f aca="false">IF(OR(G20="",H19=""),"",H19+G20)</f>
        <v/>
      </c>
      <c r="I20" s="7" t="s">
        <v>787</v>
      </c>
    </row>
    <row r="21" customFormat="false" ht="15" hidden="false" customHeight="false" outlineLevel="0" collapsed="false">
      <c r="C21" s="0" t="n">
        <v>12</v>
      </c>
      <c r="D21" s="6" t="str">
        <f aca="false">'Monthly Schedule'!M21</f>
        <v/>
      </c>
      <c r="E21" s="6" t="str">
        <f aca="false">'Monthly Schedule'!G21</f>
        <v/>
      </c>
      <c r="F21" s="6" t="str">
        <f aca="false">'Debt Schedule'!H32</f>
        <v/>
      </c>
      <c r="G21" s="19" t="str">
        <f aca="false">IF(OR(D21="",E21="",F21=""),"",D21-E21-F21)</f>
        <v/>
      </c>
      <c r="H21" s="19" t="str">
        <f aca="false">IF(OR(G21="",H20=""),"",H20+G21)</f>
        <v/>
      </c>
      <c r="I21" s="7" t="s">
        <v>787</v>
      </c>
    </row>
    <row r="22" customFormat="false" ht="15" hidden="false" customHeight="false" outlineLevel="0" collapsed="false">
      <c r="C22" s="0" t="n">
        <v>13</v>
      </c>
      <c r="D22" s="6" t="str">
        <f aca="false">'Monthly Schedule'!M22</f>
        <v/>
      </c>
      <c r="E22" s="6" t="str">
        <f aca="false">'Monthly Schedule'!G22</f>
        <v/>
      </c>
      <c r="F22" s="6" t="str">
        <f aca="false">'Debt Schedule'!H33</f>
        <v/>
      </c>
      <c r="G22" s="19" t="str">
        <f aca="false">IF(OR(D22="",E22="",F22=""),"",D22-E22-F22)</f>
        <v/>
      </c>
      <c r="H22" s="19" t="str">
        <f aca="false">IF(OR(G22="",H21=""),"",H21+G22)</f>
        <v/>
      </c>
      <c r="I22" s="7" t="s">
        <v>787</v>
      </c>
    </row>
    <row r="23" customFormat="false" ht="15" hidden="false" customHeight="false" outlineLevel="0" collapsed="false">
      <c r="C23" s="0" t="n">
        <v>14</v>
      </c>
      <c r="D23" s="6" t="str">
        <f aca="false">'Monthly Schedule'!M23</f>
        <v/>
      </c>
      <c r="E23" s="6" t="str">
        <f aca="false">'Monthly Schedule'!G23</f>
        <v/>
      </c>
      <c r="F23" s="6" t="str">
        <f aca="false">'Debt Schedule'!H34</f>
        <v/>
      </c>
      <c r="G23" s="19" t="str">
        <f aca="false">IF(OR(D23="",E23="",F23=""),"",D23-E23-F23)</f>
        <v/>
      </c>
      <c r="H23" s="19" t="str">
        <f aca="false">IF(OR(G23="",H22=""),"",H22+G23)</f>
        <v/>
      </c>
      <c r="I23" s="7" t="s">
        <v>787</v>
      </c>
    </row>
    <row r="24" customFormat="false" ht="15" hidden="false" customHeight="false" outlineLevel="0" collapsed="false">
      <c r="C24" s="0" t="n">
        <v>15</v>
      </c>
      <c r="D24" s="6" t="str">
        <f aca="false">'Monthly Schedule'!M24</f>
        <v/>
      </c>
      <c r="E24" s="6" t="str">
        <f aca="false">'Monthly Schedule'!G24</f>
        <v/>
      </c>
      <c r="F24" s="6" t="str">
        <f aca="false">'Debt Schedule'!H35</f>
        <v/>
      </c>
      <c r="G24" s="19" t="str">
        <f aca="false">IF(OR(D24="",E24="",F24=""),"",D24-E24-F24)</f>
        <v/>
      </c>
      <c r="H24" s="19" t="str">
        <f aca="false">IF(OR(G24="",H23=""),"",H23+G24)</f>
        <v/>
      </c>
      <c r="I24" s="7" t="s">
        <v>787</v>
      </c>
    </row>
    <row r="25" customFormat="false" ht="15" hidden="false" customHeight="false" outlineLevel="0" collapsed="false">
      <c r="C25" s="0" t="n">
        <v>16</v>
      </c>
      <c r="D25" s="6" t="str">
        <f aca="false">'Monthly Schedule'!M25</f>
        <v/>
      </c>
      <c r="E25" s="6" t="str">
        <f aca="false">'Monthly Schedule'!G25</f>
        <v/>
      </c>
      <c r="F25" s="6" t="str">
        <f aca="false">'Debt Schedule'!H36</f>
        <v/>
      </c>
      <c r="G25" s="19" t="str">
        <f aca="false">IF(OR(D25="",E25="",F25=""),"",D25-E25-F25)</f>
        <v/>
      </c>
      <c r="H25" s="19" t="str">
        <f aca="false">IF(OR(G25="",H24=""),"",H24+G25)</f>
        <v/>
      </c>
      <c r="I25" s="7" t="s">
        <v>787</v>
      </c>
    </row>
    <row r="26" customFormat="false" ht="15" hidden="false" customHeight="false" outlineLevel="0" collapsed="false">
      <c r="C26" s="0" t="n">
        <v>17</v>
      </c>
      <c r="D26" s="6" t="str">
        <f aca="false">'Monthly Schedule'!M26</f>
        <v/>
      </c>
      <c r="E26" s="6" t="str">
        <f aca="false">'Monthly Schedule'!G26</f>
        <v/>
      </c>
      <c r="F26" s="6" t="str">
        <f aca="false">'Debt Schedule'!H37</f>
        <v/>
      </c>
      <c r="G26" s="19" t="str">
        <f aca="false">IF(OR(D26="",E26="",F26=""),"",D26-E26-F26)</f>
        <v/>
      </c>
      <c r="H26" s="19" t="str">
        <f aca="false">IF(OR(G26="",H25=""),"",H25+G26)</f>
        <v/>
      </c>
      <c r="I26" s="7" t="s">
        <v>787</v>
      </c>
    </row>
    <row r="27" customFormat="false" ht="15" hidden="false" customHeight="false" outlineLevel="0" collapsed="false">
      <c r="C27" s="0" t="n">
        <v>18</v>
      </c>
      <c r="D27" s="6" t="str">
        <f aca="false">'Monthly Schedule'!M27</f>
        <v/>
      </c>
      <c r="E27" s="6" t="str">
        <f aca="false">'Monthly Schedule'!G27</f>
        <v/>
      </c>
      <c r="F27" s="6" t="str">
        <f aca="false">'Debt Schedule'!H38</f>
        <v/>
      </c>
      <c r="G27" s="19" t="str">
        <f aca="false">IF(OR(D27="",E27="",F27=""),"",D27-E27-F27)</f>
        <v/>
      </c>
      <c r="H27" s="19" t="str">
        <f aca="false">IF(OR(G27="",H26=""),"",H26+G27)</f>
        <v/>
      </c>
      <c r="I27" s="7" t="s">
        <v>787</v>
      </c>
    </row>
    <row r="28" customFormat="false" ht="15" hidden="false" customHeight="false" outlineLevel="0" collapsed="false">
      <c r="C28" s="0" t="n">
        <v>19</v>
      </c>
      <c r="D28" s="6" t="str">
        <f aca="false">'Monthly Schedule'!M28</f>
        <v/>
      </c>
      <c r="E28" s="6" t="str">
        <f aca="false">'Monthly Schedule'!G28</f>
        <v/>
      </c>
      <c r="F28" s="6" t="str">
        <f aca="false">'Debt Schedule'!H39</f>
        <v/>
      </c>
      <c r="G28" s="19" t="str">
        <f aca="false">IF(OR(D28="",E28="",F28=""),"",D28-E28-F28)</f>
        <v/>
      </c>
      <c r="H28" s="19" t="str">
        <f aca="false">IF(OR(G28="",H27=""),"",H27+G28)</f>
        <v/>
      </c>
      <c r="I28" s="7" t="s">
        <v>787</v>
      </c>
    </row>
    <row r="29" customFormat="false" ht="15" hidden="false" customHeight="false" outlineLevel="0" collapsed="false">
      <c r="C29" s="0" t="n">
        <v>20</v>
      </c>
      <c r="D29" s="6" t="str">
        <f aca="false">'Monthly Schedule'!M29</f>
        <v/>
      </c>
      <c r="E29" s="6" t="str">
        <f aca="false">'Monthly Schedule'!G29</f>
        <v/>
      </c>
      <c r="F29" s="6" t="str">
        <f aca="false">'Debt Schedule'!H40</f>
        <v/>
      </c>
      <c r="G29" s="19" t="str">
        <f aca="false">IF(OR(D29="",E29="",F29=""),"",D29-E29-F29)</f>
        <v/>
      </c>
      <c r="H29" s="19" t="str">
        <f aca="false">IF(OR(G29="",H28=""),"",H28+G29)</f>
        <v/>
      </c>
      <c r="I29" s="7" t="s">
        <v>787</v>
      </c>
    </row>
    <row r="30" customFormat="false" ht="15" hidden="false" customHeight="false" outlineLevel="0" collapsed="false">
      <c r="C30" s="0" t="n">
        <v>21</v>
      </c>
      <c r="D30" s="6" t="str">
        <f aca="false">'Monthly Schedule'!M30</f>
        <v/>
      </c>
      <c r="E30" s="6" t="str">
        <f aca="false">'Monthly Schedule'!G30</f>
        <v/>
      </c>
      <c r="F30" s="6" t="str">
        <f aca="false">'Debt Schedule'!H41</f>
        <v/>
      </c>
      <c r="G30" s="19" t="str">
        <f aca="false">IF(OR(D30="",E30="",F30=""),"",D30-E30-F30)</f>
        <v/>
      </c>
      <c r="H30" s="19" t="str">
        <f aca="false">IF(OR(G30="",H29=""),"",H29+G30)</f>
        <v/>
      </c>
      <c r="I30" s="7" t="s">
        <v>787</v>
      </c>
    </row>
    <row r="31" customFormat="false" ht="15" hidden="false" customHeight="false" outlineLevel="0" collapsed="false">
      <c r="C31" s="0" t="n">
        <v>22</v>
      </c>
      <c r="D31" s="6" t="str">
        <f aca="false">'Monthly Schedule'!M31</f>
        <v/>
      </c>
      <c r="E31" s="6" t="str">
        <f aca="false">'Monthly Schedule'!G31</f>
        <v/>
      </c>
      <c r="F31" s="6" t="str">
        <f aca="false">'Debt Schedule'!H42</f>
        <v/>
      </c>
      <c r="G31" s="19" t="str">
        <f aca="false">IF(OR(D31="",E31="",F31=""),"",D31-E31-F31)</f>
        <v/>
      </c>
      <c r="H31" s="19" t="str">
        <f aca="false">IF(OR(G31="",H30=""),"",H30+G31)</f>
        <v/>
      </c>
      <c r="I31" s="7" t="s">
        <v>787</v>
      </c>
    </row>
    <row r="32" customFormat="false" ht="15" hidden="false" customHeight="false" outlineLevel="0" collapsed="false">
      <c r="C32" s="0" t="n">
        <v>23</v>
      </c>
      <c r="D32" s="6" t="str">
        <f aca="false">'Monthly Schedule'!M32</f>
        <v/>
      </c>
      <c r="E32" s="6" t="str">
        <f aca="false">'Monthly Schedule'!G32</f>
        <v/>
      </c>
      <c r="F32" s="6" t="str">
        <f aca="false">'Debt Schedule'!H43</f>
        <v/>
      </c>
      <c r="G32" s="19" t="str">
        <f aca="false">IF(OR(D32="",E32="",F32=""),"",D32-E32-F32)</f>
        <v/>
      </c>
      <c r="H32" s="19" t="str">
        <f aca="false">IF(OR(G32="",H31=""),"",H31+G32)</f>
        <v/>
      </c>
      <c r="I32" s="7" t="s">
        <v>787</v>
      </c>
    </row>
    <row r="33" customFormat="false" ht="15" hidden="false" customHeight="false" outlineLevel="0" collapsed="false">
      <c r="C33" s="0" t="n">
        <v>24</v>
      </c>
      <c r="D33" s="6" t="str">
        <f aca="false">'Monthly Schedule'!M33</f>
        <v/>
      </c>
      <c r="E33" s="6" t="str">
        <f aca="false">'Monthly Schedule'!G33</f>
        <v/>
      </c>
      <c r="F33" s="6" t="str">
        <f aca="false">'Debt Schedule'!H44</f>
        <v/>
      </c>
      <c r="G33" s="19" t="str">
        <f aca="false">IF(OR(D33="",E33="",F33=""),"",D33-E33-F33)</f>
        <v/>
      </c>
      <c r="H33" s="19" t="str">
        <f aca="false">IF(OR(G33="",H32=""),"",H32+G33)</f>
        <v/>
      </c>
      <c r="I33" s="7" t="s">
        <v>787</v>
      </c>
    </row>
    <row r="34" customFormat="false" ht="15" hidden="false" customHeight="false" outlineLevel="0" collapsed="false">
      <c r="C34" s="0" t="n">
        <v>25</v>
      </c>
      <c r="D34" s="6" t="str">
        <f aca="false">'Monthly Schedule'!M34</f>
        <v/>
      </c>
      <c r="E34" s="6" t="str">
        <f aca="false">'Monthly Schedule'!G34</f>
        <v/>
      </c>
      <c r="F34" s="6" t="str">
        <f aca="false">'Debt Schedule'!H45</f>
        <v/>
      </c>
      <c r="G34" s="19" t="str">
        <f aca="false">IF(OR(D34="",E34="",F34=""),"",D34-E34-F34)</f>
        <v/>
      </c>
      <c r="H34" s="19" t="str">
        <f aca="false">IF(OR(G34="",H33=""),"",H33+G34)</f>
        <v/>
      </c>
      <c r="I34" s="7" t="s">
        <v>787</v>
      </c>
    </row>
    <row r="35" customFormat="false" ht="15" hidden="false" customHeight="false" outlineLevel="0" collapsed="false">
      <c r="C35" s="0" t="n">
        <v>26</v>
      </c>
      <c r="D35" s="6" t="str">
        <f aca="false">'Monthly Schedule'!M35</f>
        <v/>
      </c>
      <c r="E35" s="6" t="str">
        <f aca="false">'Monthly Schedule'!G35</f>
        <v/>
      </c>
      <c r="F35" s="6" t="str">
        <f aca="false">'Debt Schedule'!H46</f>
        <v/>
      </c>
      <c r="G35" s="19" t="str">
        <f aca="false">IF(OR(D35="",E35="",F35=""),"",D35-E35-F35)</f>
        <v/>
      </c>
      <c r="H35" s="19" t="str">
        <f aca="false">IF(OR(G35="",H34=""),"",H34+G35)</f>
        <v/>
      </c>
      <c r="I35" s="7" t="s">
        <v>787</v>
      </c>
    </row>
    <row r="36" customFormat="false" ht="15" hidden="false" customHeight="false" outlineLevel="0" collapsed="false">
      <c r="C36" s="0" t="n">
        <v>27</v>
      </c>
      <c r="D36" s="6" t="str">
        <f aca="false">'Monthly Schedule'!M36</f>
        <v/>
      </c>
      <c r="E36" s="6" t="str">
        <f aca="false">'Monthly Schedule'!G36</f>
        <v/>
      </c>
      <c r="F36" s="6" t="str">
        <f aca="false">'Debt Schedule'!H47</f>
        <v/>
      </c>
      <c r="G36" s="19" t="str">
        <f aca="false">IF(OR(D36="",E36="",F36=""),"",D36-E36-F36)</f>
        <v/>
      </c>
      <c r="H36" s="19" t="str">
        <f aca="false">IF(OR(G36="",H35=""),"",H35+G36)</f>
        <v/>
      </c>
      <c r="I36" s="7" t="s">
        <v>787</v>
      </c>
    </row>
    <row r="37" customFormat="false" ht="15" hidden="false" customHeight="false" outlineLevel="0" collapsed="false">
      <c r="C37" s="0" t="n">
        <v>28</v>
      </c>
      <c r="D37" s="6" t="str">
        <f aca="false">'Monthly Schedule'!M37</f>
        <v/>
      </c>
      <c r="E37" s="6" t="str">
        <f aca="false">'Monthly Schedule'!G37</f>
        <v/>
      </c>
      <c r="F37" s="6" t="str">
        <f aca="false">'Debt Schedule'!H48</f>
        <v/>
      </c>
      <c r="G37" s="19" t="str">
        <f aca="false">IF(OR(D37="",E37="",F37=""),"",D37-E37-F37)</f>
        <v/>
      </c>
      <c r="H37" s="19" t="str">
        <f aca="false">IF(OR(G37="",H36=""),"",H36+G37)</f>
        <v/>
      </c>
      <c r="I37" s="7" t="s">
        <v>787</v>
      </c>
    </row>
    <row r="38" customFormat="false" ht="15" hidden="false" customHeight="false" outlineLevel="0" collapsed="false">
      <c r="C38" s="0" t="n">
        <v>29</v>
      </c>
      <c r="D38" s="6" t="str">
        <f aca="false">'Monthly Schedule'!M38</f>
        <v/>
      </c>
      <c r="E38" s="6" t="str">
        <f aca="false">'Monthly Schedule'!G38</f>
        <v/>
      </c>
      <c r="F38" s="6" t="str">
        <f aca="false">'Debt Schedule'!H49</f>
        <v/>
      </c>
      <c r="G38" s="19" t="str">
        <f aca="false">IF(OR(D38="",E38="",F38=""),"",D38-E38-F38)</f>
        <v/>
      </c>
      <c r="H38" s="19" t="str">
        <f aca="false">IF(OR(G38="",H37=""),"",H37+G38)</f>
        <v/>
      </c>
      <c r="I38" s="7" t="s">
        <v>787</v>
      </c>
    </row>
    <row r="39" customFormat="false" ht="15" hidden="false" customHeight="false" outlineLevel="0" collapsed="false">
      <c r="C39" s="0" t="n">
        <v>30</v>
      </c>
      <c r="D39" s="6" t="str">
        <f aca="false">'Monthly Schedule'!M39</f>
        <v/>
      </c>
      <c r="E39" s="6" t="str">
        <f aca="false">'Monthly Schedule'!G39</f>
        <v/>
      </c>
      <c r="F39" s="6" t="str">
        <f aca="false">'Debt Schedule'!H50</f>
        <v/>
      </c>
      <c r="G39" s="19" t="str">
        <f aca="false">IF(OR(D39="",E39="",F39=""),"",D39-E39-F39)</f>
        <v/>
      </c>
      <c r="H39" s="19" t="str">
        <f aca="false">IF(OR(G39="",H38=""),"",H38+G39)</f>
        <v/>
      </c>
      <c r="I39" s="7" t="s">
        <v>787</v>
      </c>
    </row>
    <row r="40" customFormat="false" ht="15" hidden="false" customHeight="false" outlineLevel="0" collapsed="false">
      <c r="C40" s="0" t="n">
        <v>31</v>
      </c>
      <c r="D40" s="6" t="str">
        <f aca="false">'Monthly Schedule'!M40</f>
        <v/>
      </c>
      <c r="E40" s="6" t="str">
        <f aca="false">'Monthly Schedule'!G40</f>
        <v/>
      </c>
      <c r="F40" s="6" t="str">
        <f aca="false">'Debt Schedule'!H51</f>
        <v/>
      </c>
      <c r="G40" s="19" t="str">
        <f aca="false">IF(OR(D40="",E40="",F40=""),"",D40-E40-F40)</f>
        <v/>
      </c>
      <c r="H40" s="19" t="str">
        <f aca="false">IF(OR(G40="",H39=""),"",H39+G40)</f>
        <v/>
      </c>
      <c r="I40" s="7" t="s">
        <v>787</v>
      </c>
    </row>
    <row r="41" customFormat="false" ht="15" hidden="false" customHeight="false" outlineLevel="0" collapsed="false">
      <c r="C41" s="0" t="n">
        <v>32</v>
      </c>
      <c r="D41" s="6" t="str">
        <f aca="false">'Monthly Schedule'!M41</f>
        <v/>
      </c>
      <c r="E41" s="6" t="str">
        <f aca="false">'Monthly Schedule'!G41</f>
        <v/>
      </c>
      <c r="F41" s="6" t="str">
        <f aca="false">'Debt Schedule'!H52</f>
        <v/>
      </c>
      <c r="G41" s="19" t="str">
        <f aca="false">IF(OR(D41="",E41="",F41=""),"",D41-E41-F41)</f>
        <v/>
      </c>
      <c r="H41" s="19" t="str">
        <f aca="false">IF(OR(G41="",H40=""),"",H40+G41)</f>
        <v/>
      </c>
      <c r="I41" s="7" t="s">
        <v>787</v>
      </c>
    </row>
    <row r="42" customFormat="false" ht="15" hidden="false" customHeight="false" outlineLevel="0" collapsed="false">
      <c r="C42" s="0" t="n">
        <v>33</v>
      </c>
      <c r="D42" s="6" t="str">
        <f aca="false">'Monthly Schedule'!M42</f>
        <v/>
      </c>
      <c r="E42" s="6" t="str">
        <f aca="false">'Monthly Schedule'!G42</f>
        <v/>
      </c>
      <c r="F42" s="6" t="str">
        <f aca="false">'Debt Schedule'!H53</f>
        <v/>
      </c>
      <c r="G42" s="19" t="str">
        <f aca="false">IF(OR(D42="",E42="",F42=""),"",D42-E42-F42)</f>
        <v/>
      </c>
      <c r="H42" s="19" t="str">
        <f aca="false">IF(OR(G42="",H41=""),"",H41+G42)</f>
        <v/>
      </c>
      <c r="I42" s="7" t="s">
        <v>787</v>
      </c>
    </row>
    <row r="43" customFormat="false" ht="15" hidden="false" customHeight="false" outlineLevel="0" collapsed="false">
      <c r="C43" s="0" t="n">
        <v>34</v>
      </c>
      <c r="D43" s="6" t="str">
        <f aca="false">'Monthly Schedule'!M43</f>
        <v/>
      </c>
      <c r="E43" s="6" t="str">
        <f aca="false">'Monthly Schedule'!G43</f>
        <v/>
      </c>
      <c r="F43" s="6" t="str">
        <f aca="false">'Debt Schedule'!H54</f>
        <v/>
      </c>
      <c r="G43" s="19" t="str">
        <f aca="false">IF(OR(D43="",E43="",F43=""),"",D43-E43-F43)</f>
        <v/>
      </c>
      <c r="H43" s="19" t="str">
        <f aca="false">IF(OR(G43="",H42=""),"",H42+G43)</f>
        <v/>
      </c>
      <c r="I43" s="7" t="s">
        <v>787</v>
      </c>
    </row>
    <row r="44" customFormat="false" ht="15" hidden="false" customHeight="false" outlineLevel="0" collapsed="false">
      <c r="C44" s="0" t="n">
        <v>35</v>
      </c>
      <c r="D44" s="6" t="str">
        <f aca="false">'Monthly Schedule'!M44</f>
        <v/>
      </c>
      <c r="E44" s="6" t="str">
        <f aca="false">'Monthly Schedule'!G44</f>
        <v/>
      </c>
      <c r="F44" s="6" t="str">
        <f aca="false">'Debt Schedule'!H55</f>
        <v/>
      </c>
      <c r="G44" s="19" t="str">
        <f aca="false">IF(OR(D44="",E44="",F44=""),"",D44-E44-F44)</f>
        <v/>
      </c>
      <c r="H44" s="19" t="str">
        <f aca="false">IF(OR(G44="",H43=""),"",H43+G44)</f>
        <v/>
      </c>
      <c r="I44" s="7" t="s">
        <v>787</v>
      </c>
    </row>
    <row r="45" customFormat="false" ht="15" hidden="false" customHeight="false" outlineLevel="0" collapsed="false">
      <c r="C45" s="0" t="n">
        <v>36</v>
      </c>
      <c r="D45" s="6" t="str">
        <f aca="false">'Monthly Schedule'!M45</f>
        <v/>
      </c>
      <c r="E45" s="6" t="str">
        <f aca="false">'Monthly Schedule'!G45</f>
        <v/>
      </c>
      <c r="F45" s="6" t="str">
        <f aca="false">'Debt Schedule'!H56</f>
        <v/>
      </c>
      <c r="G45" s="19" t="str">
        <f aca="false">IF(OR(D45="",E45="",F45=""),"",D45-E45-F45)</f>
        <v/>
      </c>
      <c r="H45" s="19" t="str">
        <f aca="false">IF(OR(G45="",H44=""),"",H44+G45)</f>
        <v/>
      </c>
      <c r="I45" s="7" t="s">
        <v>787</v>
      </c>
    </row>
    <row r="47" customFormat="false" ht="15" hidden="false" customHeight="false" outlineLevel="0" collapsed="false">
      <c r="C47" s="4" t="s">
        <v>788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6.4" hidden="false" customHeight="false" outlineLevel="0" collapsed="false">
      <c r="C48" s="5" t="s">
        <v>4</v>
      </c>
      <c r="D48" s="5" t="s">
        <v>5</v>
      </c>
      <c r="E48" s="5" t="s">
        <v>789</v>
      </c>
      <c r="F48" s="5" t="s">
        <v>7</v>
      </c>
    </row>
    <row r="49" customFormat="false" ht="15" hidden="false" customHeight="false" outlineLevel="0" collapsed="false">
      <c r="C49" s="0" t="s">
        <v>790</v>
      </c>
      <c r="D49" s="19" t="str">
        <f aca="false">IF(COUNT(G10:G45)&lt;36,"",SUM(G10:G45))</f>
        <v/>
      </c>
      <c r="E49" s="7" t="s">
        <v>791</v>
      </c>
      <c r="F49" s="7" t="s">
        <v>792</v>
      </c>
    </row>
    <row r="50" customFormat="false" ht="15" hidden="false" customHeight="false" outlineLevel="0" collapsed="false">
      <c r="C50" s="0" t="s">
        <v>793</v>
      </c>
      <c r="D50" s="16" t="str">
        <f aca="false">IF(COUNT(G10:G45)&lt;36,"",IRR(G10:G45))</f>
        <v/>
      </c>
      <c r="E50" s="7" t="s">
        <v>794</v>
      </c>
      <c r="F50" s="7" t="s">
        <v>792</v>
      </c>
    </row>
    <row r="51" customFormat="false" ht="15" hidden="false" customHeight="false" outlineLevel="0" collapsed="false">
      <c r="C51" s="0" t="s">
        <v>795</v>
      </c>
      <c r="D51" s="16" t="str">
        <f aca="false">IF(D50="","",(1+D50)^12-1)</f>
        <v/>
      </c>
      <c r="E51" s="7" t="s">
        <v>796</v>
      </c>
      <c r="F51" s="7" t="s">
        <v>792</v>
      </c>
    </row>
    <row r="52" customFormat="false" ht="15" hidden="false" customHeight="false" outlineLevel="0" collapsed="false">
      <c r="C52" s="0" t="s">
        <v>797</v>
      </c>
      <c r="D52" s="22" t="str">
        <f aca="false">IF(OR(COUNTIF(G10:G45,"&lt;0")=0,COUNTIF(G10:G45,"&gt;0")=0),"",SUMIF(G10:G45,"&gt;0",G10:G45)/-SUMIF(G10:G45,"&lt;0",G10:G45))</f>
        <v/>
      </c>
      <c r="E52" s="7" t="s">
        <v>798</v>
      </c>
      <c r="F52" s="7" t="s">
        <v>792</v>
      </c>
    </row>
  </sheetData>
  <mergeCells count="3">
    <mergeCell ref="C3:N3"/>
    <mergeCell ref="C8:N8"/>
    <mergeCell ref="C47:N4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&amp;CCedarwood Flats | Levered Returns Scenario Comparison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2026-08-21T09:28:18Z</dcterms:created>
  <dc:creator>openpyxl</dc:creator>
  <dc:description/>
  <dc:language>en-US</dc:language>
  <cp:lastModifiedBy/>
  <dcterms:modified xsi:type="dcterms:W3CDTF">2026-08-21T09:28:18Z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